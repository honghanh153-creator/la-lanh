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Lá theo thẻ" sheetId="2" state="visible" r:id="rId2"/>
    <sheet name="Chào, chờ, mood" sheetId="3" state="visible" r:id="rId3"/>
    <sheet name="Chữ mới trên UI" sheetId="4" state="visible" r:id="rId4"/>
  </sheets>
  <definedNames>
    <definedName name="_xlnm._FilterDatabase" localSheetId="1" hidden="1">'Lá theo thẻ'!$A$4:$M$36</definedName>
    <definedName name="_xlnm._FilterDatabase" localSheetId="2" hidden="1">'Chào, chờ, mood'!$A$4:$M$31</definedName>
    <definedName name="_xlnm._FilterDatabase" localSheetId="3" hidden="1">'Chữ mới trên UI'!$A$4:$K$21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3F3478"/>
      <sz val="14"/>
    </font>
    <font>
      <name val="Arial"/>
      <i val="1"/>
      <color rgb="006B6482"/>
      <sz val="9"/>
    </font>
    <font>
      <name val="Arial"/>
      <b val="1"/>
      <color rgb="00FFFFFF"/>
      <sz val="10"/>
    </font>
    <font>
      <name val="Arial"/>
      <sz val="10"/>
    </font>
    <font>
      <name val="Arial"/>
      <b val="1"/>
      <color rgb="003F3478"/>
      <sz val="15"/>
    </font>
    <font>
      <name val="Arial"/>
      <b val="1"/>
      <sz val="10"/>
    </font>
    <font>
      <name val="Arial"/>
      <i val="1"/>
      <color rgb="006B6482"/>
      <sz val="10"/>
    </font>
    <font>
      <name val="Arial"/>
      <b val="1"/>
      <color rgb="003F3478"/>
      <sz val="12"/>
    </font>
  </fonts>
  <fills count="6">
    <fill>
      <patternFill/>
    </fill>
    <fill>
      <patternFill patternType="gray125"/>
    </fill>
    <fill>
      <patternFill patternType="solid">
        <fgColor rgb="003F3478"/>
      </patternFill>
    </fill>
    <fill>
      <patternFill patternType="solid">
        <fgColor rgb="00FFF6E6"/>
      </patternFill>
    </fill>
    <fill>
      <patternFill patternType="solid">
        <fgColor rgb="00EAF4CF"/>
      </patternFill>
    </fill>
    <fill>
      <patternFill patternType="solid">
        <fgColor rgb="00FDE7C8"/>
      </patternFill>
    </fill>
  </fills>
  <borders count="2">
    <border>
      <left/>
      <right/>
      <top/>
      <bottom/>
      <diagonal/>
    </border>
    <border>
      <left style="thin">
        <color rgb="00D9D3E6"/>
      </left>
      <right style="thin">
        <color rgb="00D9D3E6"/>
      </right>
      <top style="thin">
        <color rgb="00D9D3E6"/>
      </top>
      <bottom style="thin">
        <color rgb="00D9D3E6"/>
      </bottom>
    </border>
  </borders>
  <cellStyleXfs count="1">
    <xf numFmtId="0" fontId="0" fillId="0" borderId="0"/>
  </cellStyleXfs>
  <cellXfs count="23">
    <xf numFmtId="0" fontId="0" fillId="0" borderId="0" pivotButton="0" quotePrefix="0" xfId="0"/>
    <xf numFmtId="0" fontId="5" fillId="0" borderId="0" pivotButton="0" quotePrefix="0" xfId="0"/>
    <xf numFmtId="0" fontId="2" fillId="0" borderId="0" pivotButton="0" quotePrefix="0" xfId="0"/>
    <xf numFmtId="0" fontId="6" fillId="0" borderId="0" applyAlignment="1" pivotButton="0" quotePrefix="0" xfId="0">
      <alignment vertical="top" wrapText="1"/>
    </xf>
    <xf numFmtId="0" fontId="4" fillId="0" borderId="0" applyAlignment="1" pivotButton="0" quotePrefix="0" xfId="0">
      <alignment vertical="top" wrapText="1"/>
    </xf>
    <xf numFmtId="0" fontId="6" fillId="0" borderId="0" pivotButton="0" quotePrefix="0" xfId="0"/>
    <xf numFmtId="0" fontId="3" fillId="2" borderId="1" pivotButton="0" quotePrefix="0" xfId="0"/>
    <xf numFmtId="0" fontId="7" fillId="0"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xf numFmtId="0" fontId="3" fillId="2"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0" fontId="6" fillId="0" borderId="1" pivotButton="0" quotePrefix="0" xfId="0"/>
    <xf numFmtId="0" fontId="6" fillId="0" borderId="1" applyAlignment="1" pivotButton="0" quotePrefix="0" xfId="0">
      <alignment horizontal="center"/>
    </xf>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4" fillId="0" borderId="1" applyAlignment="1" pivotButton="0" quotePrefix="0" xfId="0">
      <alignment horizontal="center" vertical="top"/>
    </xf>
    <xf numFmtId="0" fontId="4" fillId="4" borderId="1" applyAlignment="1" pivotButton="0" quotePrefix="0" xfId="0">
      <alignment vertical="top" wrapText="1"/>
    </xf>
    <xf numFmtId="0" fontId="4" fillId="3"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dxfs count="1">
    <dxf>
      <fill>
        <patternFill patternType="solid">
          <fgColor rgb="00F4C7C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1" t="inlineStr">
        <is>
          <t>Duyệt nội dung: Lời của Lá + giao diện Tím đêm dịu</t>
        </is>
      </c>
    </row>
    <row r="2">
      <c r="A2" s="2" t="inlineStr">
        <is>
          <t>Nguồn: collab/integration @ b474caf (PR #12 a28f817 + PR #13 6cd7113, Codex APPROVE 16/10/2026). Tạo ngày 16/10/2026.</t>
        </is>
      </c>
    </row>
    <row r="4">
      <c r="A4" s="3" t="inlineStr">
        <is>
          <t>Cách duyệt</t>
        </is>
      </c>
    </row>
    <row r="5">
      <c r="A5" s="4" t="inlineStr">
        <is>
          <t>1. Mỗi sheet một nhóm nội dung. Chỉ điền vào các ô nền kem: Quyết định, Câu đề xuất, Ghi chú.</t>
        </is>
      </c>
    </row>
    <row r="6">
      <c r="A6" s="4" t="inlineStr">
        <is>
          <t>2. Quyết định: chọn Duyệt (giữ nguyên câu), Sửa (ghi câu mới vào cột đề xuất) hoặc Bỏ (không dùng câu này).</t>
        </is>
      </c>
    </row>
    <row r="7">
      <c r="A7" s="4" t="inlineStr">
        <is>
          <t>3. Số từ tự đếm; ô tô đỏ khi vượt giới hạn. Câu Thẳng ≤ 14 từ, Cà khịa ≤ 16 từ, lời chào/chờ/mood ≤ 18 từ, tối thiểu 3 từ.</t>
        </is>
      </c>
    </row>
    <row r="8">
      <c r="A8" s="4" t="inlineStr">
        <is>
          <t>4. Trạng thái: Mới (xanh lá) = chưa từng chạy; Sửa (cam) = đổi so với bản đang chạy; Giữ nguyên = chỉ cần xác nhận.</t>
        </is>
      </c>
    </row>
    <row r="9">
      <c r="A9" s="4" t="inlineStr">
        <is>
          <t>5. Gửi lại file này; Claude sẽ áp các câu Sửa vào content matrix, chạy lại gate và audit rồi mới đưa lên.</t>
        </is>
      </c>
    </row>
    <row r="10">
      <c r="A10" s="3" t="inlineStr">
        <is>
          <t>Quy tắc câu của Lá (chuẩn nội dung)</t>
        </is>
      </c>
    </row>
    <row r="11">
      <c r="A11" s="4" t="inlineStr">
        <is>
          <t>• Nhắc đúng việc nhỏ của thẻ; không lặp lại tiêu đề hay việc nhỏ nguyên văn.</t>
        </is>
      </c>
    </row>
    <row r="12">
      <c r="A12" s="4" t="inlineStr">
        <is>
          <t>• Không thuật ngữ chiêm tinh, không dự đoán, không nói thay suy nghĩ người khác, không chắc chắn tuyệt đối.</t>
        </is>
      </c>
    </row>
    <row r="13">
      <c r="A13" s="4" t="inlineStr">
        <is>
          <t>• Cà khịa: trêu tình huống, không trêu người; luôn có lối ra; tối đa một câu trêu.</t>
        </is>
      </c>
    </row>
    <row r="14">
      <c r="A14" s="4" t="inlineStr">
        <is>
          <t>• Câu Thẳng của 15 vấn đề phải chứa từ khoá hành động của thẻ (vd. “hỏi”, “gửi”, “lịch”) và không được ngược ý.</t>
        </is>
      </c>
    </row>
    <row r="16">
      <c r="A16" s="5" t="inlineStr">
        <is>
          <t>Ví dụ một dòng đã điền</t>
        </is>
      </c>
    </row>
    <row r="17">
      <c r="A17" s="6" t="inlineStr">
        <is>
          <t>Câu của Lá</t>
        </is>
      </c>
      <c r="B17" s="6" t="inlineStr">
        <is>
          <t>Quyết định</t>
        </is>
      </c>
      <c r="C17" s="6" t="inlineStr">
        <is>
          <t>Câu đề xuất</t>
        </is>
      </c>
      <c r="D17" s="6" t="inlineStr">
        <is>
          <t>Ghi chú</t>
        </is>
      </c>
    </row>
    <row r="18" ht="42" customHeight="1">
      <c r="A18" s="7" t="inlineStr">
        <is>
          <t>Bớt lựa chọn đi một chút, chọn sẽ nhẹ hơn.</t>
        </is>
      </c>
      <c r="B18" s="8" t="inlineStr">
        <is>
          <t>Sửa</t>
        </is>
      </c>
      <c r="C18" s="8" t="inlineStr">
        <is>
          <t>Gạch bớt vài lựa chọn, chọn sẽ nhẹ đầu hơn.</t>
        </is>
      </c>
      <c r="D18" s="8" t="inlineStr">
        <is>
          <t>Muốn có động từ rõ hơn</t>
        </is>
      </c>
    </row>
    <row r="20">
      <c r="A20" s="9" t="inlineStr">
        <is>
          <t>Tổng hợp (tự cập nhật)</t>
        </is>
      </c>
    </row>
    <row r="21">
      <c r="A21" s="10" t="inlineStr">
        <is>
          <t>Sheet</t>
        </is>
      </c>
      <c r="B21" s="10" t="inlineStr">
        <is>
          <t>Tổng số câu</t>
        </is>
      </c>
      <c r="C21" s="10" t="inlineStr">
        <is>
          <t>Duyệt</t>
        </is>
      </c>
      <c r="D21" s="10" t="inlineStr">
        <is>
          <t>Sửa</t>
        </is>
      </c>
      <c r="E21" s="10" t="inlineStr">
        <is>
          <t>Bỏ</t>
        </is>
      </c>
      <c r="F21" s="10" t="inlineStr">
        <is>
          <t>Chưa duyệt</t>
        </is>
      </c>
    </row>
    <row r="22">
      <c r="A22" s="11" t="inlineStr">
        <is>
          <t>Lá theo thẻ</t>
        </is>
      </c>
      <c r="B22" s="12">
        <f>COUNTA('Lá theo thẻ'!$A$5:$A$36)</f>
        <v/>
      </c>
      <c r="C22" s="12">
        <f>COUNTIF('Lá theo thẻ'!$J$5:$J$36,"Duyệt")</f>
        <v/>
      </c>
      <c r="D22" s="12">
        <f>COUNTIF('Lá theo thẻ'!$J$5:$J$36,"Sửa")</f>
        <v/>
      </c>
      <c r="E22" s="12">
        <f>COUNTIF('Lá theo thẻ'!$J$5:$J$36,"Bỏ")</f>
        <v/>
      </c>
      <c r="F22" s="12">
        <f>B22-C22-D22-E22</f>
        <v/>
      </c>
    </row>
    <row r="23">
      <c r="A23" s="11" t="inlineStr">
        <is>
          <t>Chào, chờ, mood</t>
        </is>
      </c>
      <c r="B23" s="12">
        <f>COUNTA('Chào, chờ, mood'!$A$5:$A$31)</f>
        <v/>
      </c>
      <c r="C23" s="12">
        <f>COUNTIF('Chào, chờ, mood'!$J$5:$J$31,"Duyệt")</f>
        <v/>
      </c>
      <c r="D23" s="12">
        <f>COUNTIF('Chào, chờ, mood'!$J$5:$J$31,"Sửa")</f>
        <v/>
      </c>
      <c r="E23" s="12">
        <f>COUNTIF('Chào, chờ, mood'!$J$5:$J$31,"Bỏ")</f>
        <v/>
      </c>
      <c r="F23" s="12">
        <f>B23-C23-D23-E23</f>
        <v/>
      </c>
    </row>
    <row r="24">
      <c r="A24" s="11" t="inlineStr">
        <is>
          <t>Chữ mới trên UI</t>
        </is>
      </c>
      <c r="B24" s="12">
        <f>COUNTA('Chữ mới trên UI'!$A$5:$A$21)</f>
        <v/>
      </c>
      <c r="C24" s="12">
        <f>COUNTIF('Chữ mới trên UI'!$H$5:$H$21,"Duyệt")</f>
        <v/>
      </c>
      <c r="D24" s="12">
        <f>COUNTIF('Chữ mới trên UI'!$H$5:$H$21,"Sửa")</f>
        <v/>
      </c>
      <c r="E24" s="12">
        <f>COUNTIF('Chữ mới trên UI'!$H$5:$H$21,"Bỏ")</f>
        <v/>
      </c>
      <c r="F24" s="12">
        <f>B24-C24-D24-E24</f>
        <v/>
      </c>
    </row>
    <row r="25">
      <c r="A25" s="13" t="inlineStr">
        <is>
          <t>Tổng</t>
        </is>
      </c>
      <c r="B25" s="14">
        <f>SUM(B22:B24)</f>
        <v/>
      </c>
      <c r="C25" s="14">
        <f>SUM(C22:C24)</f>
        <v/>
      </c>
      <c r="D25" s="14">
        <f>SUM(D22:D24)</f>
        <v/>
      </c>
      <c r="E25" s="14">
        <f>SUM(E22:E24)</f>
        <v/>
      </c>
      <c r="F25" s="14">
        <f>SUM(F22:F24)</f>
        <v/>
      </c>
    </row>
  </sheetData>
  <mergeCells count="11">
    <mergeCell ref="A11:F11"/>
    <mergeCell ref="A10:F10"/>
    <mergeCell ref="A13:F13"/>
    <mergeCell ref="A14:F14"/>
    <mergeCell ref="A5:F5"/>
    <mergeCell ref="A9:F9"/>
    <mergeCell ref="A8:F8"/>
    <mergeCell ref="A6:F6"/>
    <mergeCell ref="A12:F12"/>
    <mergeCell ref="A4:F4"/>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showGridLines="0" workbookViewId="0">
      <pane ySplit="4" topLeftCell="A5" activePane="bottomLeft" state="frozen"/>
      <selection pane="bottomLeft" activeCell="A1" sqref="A1"/>
    </sheetView>
  </sheetViews>
  <sheetFormatPr baseColWidth="8" defaultRowHeight="15"/>
  <cols>
    <col width="7" customWidth="1" min="1" max="1"/>
    <col width="22" customWidth="1" min="2" max="2"/>
    <col width="40" customWidth="1" min="3" max="3"/>
    <col width="32" customWidth="1" min="4" max="4"/>
    <col width="9" customWidth="1" min="5" max="5"/>
    <col width="42" customWidth="1" min="6" max="6"/>
    <col width="7" customWidth="1" min="7" max="7"/>
    <col width="7" customWidth="1" min="8" max="8"/>
    <col width="11" customWidth="1" min="9" max="9"/>
    <col width="12" customWidth="1" min="10" max="10"/>
    <col width="42" customWidth="1" min="11" max="11"/>
    <col width="9" customWidth="1" min="12" max="12"/>
    <col width="28" customWidth="1" min="13" max="13"/>
  </cols>
  <sheetData>
    <row r="1">
      <c r="A1" s="15" t="inlineStr">
        <is>
          <t>Lời của Lá bên cạnh thẻ hôm nay</t>
        </is>
      </c>
    </row>
    <row r="2" ht="30" customHeight="1">
      <c r="A2" s="16" t="inlineStr">
        <is>
          <t>Hiện trong bong bóng của Lá trên Home. Giọng Thẳng cho người chọn 'Thẳng', Cà khịa cho người chọn 'Cà khịa'. Cột 'Ý cần truyền' là brief Luna nhận để viết lại câu Thẳng khi bật AI (Cà khịa luôn dùng câu viết sẵn). Câu cần nhắc đúng việc nhỏ của thẻ, không đoán ý người khác, không phán số phận.</t>
        </is>
      </c>
    </row>
    <row r="4" ht="32" customHeight="1">
      <c r="A4" s="17" t="inlineStr">
        <is>
          <t>Mã</t>
        </is>
      </c>
      <c r="B4" s="17" t="inlineStr">
        <is>
          <t>Vấn đề</t>
        </is>
      </c>
      <c r="C4" s="17" t="inlineStr">
        <is>
          <t>Thẻ hôm nay nói gì (ví dụ)</t>
        </is>
      </c>
      <c r="D4" s="17" t="inlineStr">
        <is>
          <t>Ý cần truyền (gửi cho Luna)</t>
        </is>
      </c>
      <c r="E4" s="17" t="inlineStr">
        <is>
          <t>Giọng</t>
        </is>
      </c>
      <c r="F4" s="17" t="inlineStr">
        <is>
          <t>Câu của Lá</t>
        </is>
      </c>
      <c r="G4" s="17" t="inlineStr">
        <is>
          <t>Số từ</t>
        </is>
      </c>
      <c r="H4" s="17" t="inlineStr">
        <is>
          <t>Tối đa</t>
        </is>
      </c>
      <c r="I4" s="17" t="inlineStr">
        <is>
          <t>Trạng thái</t>
        </is>
      </c>
      <c r="J4" s="17" t="inlineStr">
        <is>
          <t>Quyết định</t>
        </is>
      </c>
      <c r="K4" s="17" t="inlineStr">
        <is>
          <t>Câu đề xuất (nếu Sửa)</t>
        </is>
      </c>
      <c r="L4" s="17" t="inlineStr">
        <is>
          <t>Số từ đề xuất</t>
        </is>
      </c>
      <c r="M4" s="17" t="inlineStr">
        <is>
          <t>Ghi chú</t>
        </is>
      </c>
    </row>
    <row r="5">
      <c r="A5" s="18" t="inlineStr">
        <is>
          <t>L01a</t>
        </is>
      </c>
      <c r="B5" s="18" t="inlineStr">
        <is>
          <t>Chưa rõ ý, dễ tự đoán</t>
        </is>
      </c>
      <c r="C5" s="18" t="inlineStr">
        <is>
          <t>Thẻ: "Bạn đọc lại tin nhắn vì chưa hiểu ý."
Việc nhỏ: "Hỏi lại phần chưa rõ: Bạn muốn nói gì ở chỗ này?"</t>
        </is>
      </c>
      <c r="D5" s="18" t="inlineStr">
        <is>
          <t>Hỏi lại phần chưa rõ thay vì tự đoán ý tin nhắn.</t>
        </is>
      </c>
      <c r="E5" s="18" t="inlineStr">
        <is>
          <t>Thẳng</t>
        </is>
      </c>
      <c r="F5" s="18" t="inlineStr">
        <is>
          <t>Hỏi lại một câu thôi, đỡ hơn đoán cả buổi.</t>
        </is>
      </c>
      <c r="G5" s="19">
        <f>IF(LEN(TRIM(F5))=0,"",LEN(TRIM(F5))-LEN(SUBSTITUTE(TRIM(F5)," ",""))+1)</f>
        <v/>
      </c>
      <c r="H5" s="18" t="n">
        <v>14</v>
      </c>
      <c r="I5" s="20" t="inlineStr">
        <is>
          <t>Mới</t>
        </is>
      </c>
      <c r="J5" s="21" t="n"/>
      <c r="K5" s="21" t="n"/>
      <c r="L5" s="19">
        <f>IF(LEN(TRIM(K5))=0,"",LEN(TRIM(K5))-LEN(SUBSTITUTE(TRIM(K5)," ",""))+1)</f>
        <v/>
      </c>
      <c r="M5" s="21" t="n"/>
    </row>
    <row r="6">
      <c r="A6" s="18" t="inlineStr">
        <is>
          <t>L01b</t>
        </is>
      </c>
      <c r="B6" s="18" t="inlineStr">
        <is>
          <t>Chưa rõ ý, dễ tự đoán</t>
        </is>
      </c>
      <c r="C6" s="18" t="inlineStr">
        <is>
          <t>Thẻ: "Bạn đọc lại tin nhắn vì chưa hiểu ý."
Việc nhỏ: "Hỏi lại phần chưa rõ: Bạn muốn nói gì ở chỗ này?"</t>
        </is>
      </c>
      <c r="D6" s="18" t="inlineStr">
        <is>
          <t>Hỏi lại phần chưa rõ thay vì tự đoán ý tin nhắn.</t>
        </is>
      </c>
      <c r="E6" s="18" t="inlineStr">
        <is>
          <t>Cà khịa</t>
        </is>
      </c>
      <c r="F6" s="18" t="inlineStr">
        <is>
          <t>Thám tử tin nhắn ơi, hỏi thẳng một câu cho nhanh án.</t>
        </is>
      </c>
      <c r="G6" s="19">
        <f>IF(LEN(TRIM(F6))=0,"",LEN(TRIM(F6))-LEN(SUBSTITUTE(TRIM(F6)," ",""))+1)</f>
        <v/>
      </c>
      <c r="H6" s="18" t="n">
        <v>16</v>
      </c>
      <c r="I6" s="20" t="inlineStr">
        <is>
          <t>Mới</t>
        </is>
      </c>
      <c r="J6" s="21" t="n"/>
      <c r="K6" s="21" t="n"/>
      <c r="L6" s="19">
        <f>IF(LEN(TRIM(K6))=0,"",LEN(TRIM(K6))-LEN(SUBSTITUTE(TRIM(K6)," ",""))+1)</f>
        <v/>
      </c>
      <c r="M6" s="21" t="n"/>
    </row>
    <row r="7">
      <c r="A7" s="18" t="inlineStr">
        <is>
          <t>L02a</t>
        </is>
      </c>
      <c r="B7" s="18" t="inlineStr">
        <is>
          <t>Mở nhiều việc, chưa xong việc nào</t>
        </is>
      </c>
      <c r="C7" s="18" t="inlineStr">
        <is>
          <t>Thẻ: "Bạn bắt đầu nhiều việc, chưa xong việc nào."
Việc nhỏ: "Chọn một việc để làm trong 20 phút, chưa chuyển sang việc khác."</t>
        </is>
      </c>
      <c r="D7" s="18" t="inlineStr">
        <is>
          <t>Khuyến khích làm xong một việc trước khi mở việc mới.</t>
        </is>
      </c>
      <c r="E7" s="18" t="inlineStr">
        <is>
          <t>Thẳng</t>
        </is>
      </c>
      <c r="F7" s="18" t="inlineStr">
        <is>
          <t>Xong một việc trước đã, việc kia vẫn chờ được.</t>
        </is>
      </c>
      <c r="G7" s="19">
        <f>IF(LEN(TRIM(F7))=0,"",LEN(TRIM(F7))-LEN(SUBSTITUTE(TRIM(F7)," ",""))+1)</f>
        <v/>
      </c>
      <c r="H7" s="18" t="n">
        <v>14</v>
      </c>
      <c r="I7" s="20" t="inlineStr">
        <is>
          <t>Mới</t>
        </is>
      </c>
      <c r="J7" s="21" t="n"/>
      <c r="K7" s="21" t="n"/>
      <c r="L7" s="19">
        <f>IF(LEN(TRIM(K7))=0,"",LEN(TRIM(K7))-LEN(SUBSTITUTE(TRIM(K7)," ",""))+1)</f>
        <v/>
      </c>
      <c r="M7" s="21" t="n"/>
    </row>
    <row r="8">
      <c r="A8" s="18" t="inlineStr">
        <is>
          <t>L02b</t>
        </is>
      </c>
      <c r="B8" s="18" t="inlineStr">
        <is>
          <t>Mở nhiều việc, chưa xong việc nào</t>
        </is>
      </c>
      <c r="C8" s="18" t="inlineStr">
        <is>
          <t>Thẻ: "Bạn bắt đầu nhiều việc, chưa xong việc nào."
Việc nhỏ: "Chọn một việc để làm trong 20 phút, chưa chuyển sang việc khác."</t>
        </is>
      </c>
      <c r="D8" s="18" t="inlineStr">
        <is>
          <t>Khuyến khích làm xong một việc trước khi mở việc mới.</t>
        </is>
      </c>
      <c r="E8" s="18" t="inlineStr">
        <is>
          <t>Cà khịa</t>
        </is>
      </c>
      <c r="F8" s="18" t="inlineStr">
        <is>
          <t>Đóng bớt tab trong đầu đi, một việc thôi là đủ.</t>
        </is>
      </c>
      <c r="G8" s="19">
        <f>IF(LEN(TRIM(F8))=0,"",LEN(TRIM(F8))-LEN(SUBSTITUTE(TRIM(F8)," ",""))+1)</f>
        <v/>
      </c>
      <c r="H8" s="18" t="n">
        <v>16</v>
      </c>
      <c r="I8" s="20" t="inlineStr">
        <is>
          <t>Mới</t>
        </is>
      </c>
      <c r="J8" s="21" t="n"/>
      <c r="K8" s="21" t="n"/>
      <c r="L8" s="19">
        <f>IF(LEN(TRIM(K8))=0,"",LEN(TRIM(K8))-LEN(SUBSTITUTE(TRIM(K8)," ",""))+1)</f>
        <v/>
      </c>
      <c r="M8" s="21" t="n"/>
    </row>
    <row r="9">
      <c r="A9" s="18" t="inlineStr">
        <is>
          <t>L03a</t>
        </is>
      </c>
      <c r="B9" s="18" t="inlineStr">
        <is>
          <t>Lịch hẹn bị đổi</t>
        </is>
      </c>
      <c r="C9" s="18" t="inlineStr">
        <is>
          <t>Thẻ: "Một cuộc hẹn đổi giờ làm bạn phải sắp lại."
Việc nhỏ: "Xác nhận giờ hẹn mới trước khi đổi những việc khác."</t>
        </is>
      </c>
      <c r="D9" s="18" t="inlineStr">
        <is>
          <t>Nhắc chốt lại giờ hẹn mới trước khi xếp lại cả ngày.</t>
        </is>
      </c>
      <c r="E9" s="18" t="inlineStr">
        <is>
          <t>Thẳng</t>
        </is>
      </c>
      <c r="F9" s="18" t="inlineStr">
        <is>
          <t>Chốt giờ mới trước, rồi hẵng xếp lại cả ngày.</t>
        </is>
      </c>
      <c r="G9" s="19">
        <f>IF(LEN(TRIM(F9))=0,"",LEN(TRIM(F9))-LEN(SUBSTITUTE(TRIM(F9)," ",""))+1)</f>
        <v/>
      </c>
      <c r="H9" s="18" t="n">
        <v>14</v>
      </c>
      <c r="I9" s="20" t="inlineStr">
        <is>
          <t>Mới</t>
        </is>
      </c>
      <c r="J9" s="21" t="n"/>
      <c r="K9" s="21" t="n"/>
      <c r="L9" s="19">
        <f>IF(LEN(TRIM(K9))=0,"",LEN(TRIM(K9))-LEN(SUBSTITUTE(TRIM(K9)," ",""))+1)</f>
        <v/>
      </c>
      <c r="M9" s="21" t="n"/>
    </row>
    <row r="10">
      <c r="A10" s="18" t="inlineStr">
        <is>
          <t>L03b</t>
        </is>
      </c>
      <c r="B10" s="18" t="inlineStr">
        <is>
          <t>Lịch hẹn bị đổi</t>
        </is>
      </c>
      <c r="C10" s="18" t="inlineStr">
        <is>
          <t>Thẻ: "Một cuộc hẹn đổi giờ làm bạn phải sắp lại."
Việc nhỏ: "Xác nhận giờ hẹn mới trước khi đổi những việc khác."</t>
        </is>
      </c>
      <c r="D10" s="18" t="inlineStr">
        <is>
          <t>Nhắc chốt lại giờ hẹn mới trước khi xếp lại cả ngày.</t>
        </is>
      </c>
      <c r="E10" s="18" t="inlineStr">
        <is>
          <t>Cà khịa</t>
        </is>
      </c>
      <c r="F10" s="18" t="inlineStr">
        <is>
          <t>Lịch đổi một chỗ thôi, đừng vội xây lại cả ngày.</t>
        </is>
      </c>
      <c r="G10" s="19">
        <f>IF(LEN(TRIM(F10))=0,"",LEN(TRIM(F10))-LEN(SUBSTITUTE(TRIM(F10)," ",""))+1)</f>
        <v/>
      </c>
      <c r="H10" s="18" t="n">
        <v>16</v>
      </c>
      <c r="I10" s="20" t="inlineStr">
        <is>
          <t>Mới</t>
        </is>
      </c>
      <c r="J10" s="21" t="n"/>
      <c r="K10" s="21" t="n"/>
      <c r="L10" s="19">
        <f>IF(LEN(TRIM(K10))=0,"",LEN(TRIM(K10))-LEN(SUBSTITUTE(TRIM(K10)," ",""))+1)</f>
        <v/>
      </c>
      <c r="M10" s="21" t="n"/>
    </row>
    <row r="11">
      <c r="A11" s="18" t="inlineStr">
        <is>
          <t>L04a</t>
        </is>
      </c>
      <c r="B11" s="18" t="inlineStr">
        <is>
          <t>So mình với người khác</t>
        </is>
      </c>
      <c r="C11" s="18" t="inlineStr">
        <is>
          <t>Thẻ: "Thấy người khác làm tốt, bạn chê việc mình."
Việc nhỏ: "Ghi một việc mình đã làm xong trước khi xem tiếp."</t>
        </is>
      </c>
      <c r="D11" s="18" t="inlineStr">
        <is>
          <t>Kéo chú ý về tiến triển của chính mình.</t>
        </is>
      </c>
      <c r="E11" s="18" t="inlineStr">
        <is>
          <t>Thẳng</t>
        </is>
      </c>
      <c r="F11" s="18" t="inlineStr">
        <is>
          <t>Nhìn lại việc bạn đã xong hôm nay trước nhé.</t>
        </is>
      </c>
      <c r="G11" s="19">
        <f>IF(LEN(TRIM(F11))=0,"",LEN(TRIM(F11))-LEN(SUBSTITUTE(TRIM(F11)," ",""))+1)</f>
        <v/>
      </c>
      <c r="H11" s="18" t="n">
        <v>14</v>
      </c>
      <c r="I11" s="20" t="inlineStr">
        <is>
          <t>Mới</t>
        </is>
      </c>
      <c r="J11" s="21" t="n"/>
      <c r="K11" s="21" t="n"/>
      <c r="L11" s="19">
        <f>IF(LEN(TRIM(K11))=0,"",LEN(TRIM(K11))-LEN(SUBSTITUTE(TRIM(K11)," ",""))+1)</f>
        <v/>
      </c>
      <c r="M11" s="21" t="n"/>
    </row>
    <row r="12">
      <c r="A12" s="18" t="inlineStr">
        <is>
          <t>L04b</t>
        </is>
      </c>
      <c r="B12" s="18" t="inlineStr">
        <is>
          <t>So mình với người khác</t>
        </is>
      </c>
      <c r="C12" s="18" t="inlineStr">
        <is>
          <t>Thẻ: "Thấy người khác làm tốt, bạn chê việc mình."
Việc nhỏ: "Ghi một việc mình đã làm xong trước khi xem tiếp."</t>
        </is>
      </c>
      <c r="D12" s="18" t="inlineStr">
        <is>
          <t>Kéo chú ý về tiến triển của chính mình.</t>
        </is>
      </c>
      <c r="E12" s="18" t="inlineStr">
        <is>
          <t>Cà khịa</t>
        </is>
      </c>
      <c r="F12" s="18" t="inlineStr">
        <is>
          <t>Lướt thành tích người ta đủ rồi, xem của mình chút đi.</t>
        </is>
      </c>
      <c r="G12" s="19">
        <f>IF(LEN(TRIM(F12))=0,"",LEN(TRIM(F12))-LEN(SUBSTITUTE(TRIM(F12)," ",""))+1)</f>
        <v/>
      </c>
      <c r="H12" s="18" t="n">
        <v>16</v>
      </c>
      <c r="I12" s="20" t="inlineStr">
        <is>
          <t>Mới</t>
        </is>
      </c>
      <c r="J12" s="21" t="n"/>
      <c r="K12" s="21" t="n"/>
      <c r="L12" s="19">
        <f>IF(LEN(TRIM(K12))=0,"",LEN(TRIM(K12))-LEN(SUBSTITUTE(TRIM(K12)," ",""))+1)</f>
        <v/>
      </c>
      <c r="M12" s="21" t="n"/>
    </row>
    <row r="13">
      <c r="A13" s="18" t="inlineStr">
        <is>
          <t>L05a</t>
        </is>
      </c>
      <c r="B13" s="18" t="inlineStr">
        <is>
          <t>Nhận giúp theo phản xạ</t>
        </is>
      </c>
      <c r="C13" s="18" t="inlineStr">
        <is>
          <t>Thẻ: "Bạn nhận lời giúp trước khi xem mình còn sức."
Việc nhỏ: "Nói rõ bạn giúp được phần nào và trong bao lâu."</t>
        </is>
      </c>
      <c r="D13" s="18" t="inlineStr">
        <is>
          <t>Xem sức mình trước khi nhận giúp người khác.</t>
        </is>
      </c>
      <c r="E13" s="18" t="inlineStr">
        <is>
          <t>Thẳng</t>
        </is>
      </c>
      <c r="F13" s="18" t="inlineStr">
        <is>
          <t>Giúp được bao nhiêu thì nói bấy nhiêu, vậy là đủ.</t>
        </is>
      </c>
      <c r="G13" s="19">
        <f>IF(LEN(TRIM(F13))=0,"",LEN(TRIM(F13))-LEN(SUBSTITUTE(TRIM(F13)," ",""))+1)</f>
        <v/>
      </c>
      <c r="H13" s="18" t="n">
        <v>14</v>
      </c>
      <c r="I13" s="20" t="inlineStr">
        <is>
          <t>Mới</t>
        </is>
      </c>
      <c r="J13" s="21" t="n"/>
      <c r="K13" s="21" t="n"/>
      <c r="L13" s="19">
        <f>IF(LEN(TRIM(K13))=0,"",LEN(TRIM(K13))-LEN(SUBSTITUTE(TRIM(K13)," ",""))+1)</f>
        <v/>
      </c>
      <c r="M13" s="21" t="n"/>
    </row>
    <row r="14">
      <c r="A14" s="18" t="inlineStr">
        <is>
          <t>L05b</t>
        </is>
      </c>
      <c r="B14" s="18" t="inlineStr">
        <is>
          <t>Nhận giúp theo phản xạ</t>
        </is>
      </c>
      <c r="C14" s="18" t="inlineStr">
        <is>
          <t>Thẻ: "Bạn nhận lời giúp trước khi xem mình còn sức."
Việc nhỏ: "Nói rõ bạn giúp được phần nào và trong bao lâu."</t>
        </is>
      </c>
      <c r="D14" s="18" t="inlineStr">
        <is>
          <t>Xem sức mình trước khi nhận giúp người khác.</t>
        </is>
      </c>
      <c r="E14" s="18" t="inlineStr">
        <is>
          <t>Cà khịa</t>
        </is>
      </c>
      <c r="F14" s="18" t="inlineStr">
        <is>
          <t>Siêu anh hùng cũng cần sạc pin. Nhận vừa sức thôi.</t>
        </is>
      </c>
      <c r="G14" s="19">
        <f>IF(LEN(TRIM(F14))=0,"",LEN(TRIM(F14))-LEN(SUBSTITUTE(TRIM(F14)," ",""))+1)</f>
        <v/>
      </c>
      <c r="H14" s="18" t="n">
        <v>16</v>
      </c>
      <c r="I14" s="20" t="inlineStr">
        <is>
          <t>Mới</t>
        </is>
      </c>
      <c r="J14" s="21" t="n"/>
      <c r="K14" s="21" t="n"/>
      <c r="L14" s="19">
        <f>IF(LEN(TRIM(K14))=0,"",LEN(TRIM(K14))-LEN(SUBSTITUTE(TRIM(K14)," ",""))+1)</f>
        <v/>
      </c>
      <c r="M14" s="21" t="n"/>
    </row>
    <row r="15">
      <c r="A15" s="18" t="inlineStr">
        <is>
          <t>L06a</t>
        </is>
      </c>
      <c r="B15" s="18" t="inlineStr">
        <is>
          <t>Mệt vì phải chọn</t>
        </is>
      </c>
      <c r="C15" s="18" t="inlineStr">
        <is>
          <t>Thẻ: "Bạn chọn mãi vẫn chưa biết chọn cái nào."
Việc nhỏ: "Giảm còn hai lựa chọn phù hợp nhất rồi so một điểm quan trọng."</t>
        </is>
      </c>
      <c r="D15" s="18" t="inlineStr">
        <is>
          <t>Thu hẹp lựa chọn khi đang mệt.</t>
        </is>
      </c>
      <c r="E15" s="18" t="inlineStr">
        <is>
          <t>Thẳng</t>
        </is>
      </c>
      <c r="F15" s="18" t="inlineStr">
        <is>
          <t>Bớt lựa chọn đi một chút, chọn sẽ nhẹ hơn.</t>
        </is>
      </c>
      <c r="G15" s="19">
        <f>IF(LEN(TRIM(F15))=0,"",LEN(TRIM(F15))-LEN(SUBSTITUTE(TRIM(F15)," ",""))+1)</f>
        <v/>
      </c>
      <c r="H15" s="18" t="n">
        <v>14</v>
      </c>
      <c r="I15" s="20" t="inlineStr">
        <is>
          <t>Mới</t>
        </is>
      </c>
      <c r="J15" s="21" t="n"/>
      <c r="K15" s="21" t="n"/>
      <c r="L15" s="19">
        <f>IF(LEN(TRIM(K15))=0,"",LEN(TRIM(K15))-LEN(SUBSTITUTE(TRIM(K15)," ",""))+1)</f>
        <v/>
      </c>
      <c r="M15" s="21" t="n"/>
    </row>
    <row r="16">
      <c r="A16" s="18" t="inlineStr">
        <is>
          <t>L06b</t>
        </is>
      </c>
      <c r="B16" s="18" t="inlineStr">
        <is>
          <t>Mệt vì phải chọn</t>
        </is>
      </c>
      <c r="C16" s="18" t="inlineStr">
        <is>
          <t>Thẻ: "Bạn chọn mãi vẫn chưa biết chọn cái nào."
Việc nhỏ: "Giảm còn hai lựa chọn phù hợp nhất rồi so một điểm quan trọng."</t>
        </is>
      </c>
      <c r="D16" s="18" t="inlineStr">
        <is>
          <t>Thu hẹp lựa chọn khi đang mệt.</t>
        </is>
      </c>
      <c r="E16" s="18" t="inlineStr">
        <is>
          <t>Cà khịa</t>
        </is>
      </c>
      <c r="F16" s="18" t="inlineStr">
        <is>
          <t>Mười phương án thì chọn tới mai. Gạch bớt đi nào.</t>
        </is>
      </c>
      <c r="G16" s="19">
        <f>IF(LEN(TRIM(F16))=0,"",LEN(TRIM(F16))-LEN(SUBSTITUTE(TRIM(F16)," ",""))+1)</f>
        <v/>
      </c>
      <c r="H16" s="18" t="n">
        <v>16</v>
      </c>
      <c r="I16" s="20" t="inlineStr">
        <is>
          <t>Mới</t>
        </is>
      </c>
      <c r="J16" s="21" t="n"/>
      <c r="K16" s="21" t="n"/>
      <c r="L16" s="19">
        <f>IF(LEN(TRIM(K16))=0,"",LEN(TRIM(K16))-LEN(SUBSTITUTE(TRIM(K16)," ",""))+1)</f>
        <v/>
      </c>
      <c r="M16" s="21" t="n"/>
    </row>
    <row r="17">
      <c r="A17" s="18" t="inlineStr">
        <is>
          <t>L07a</t>
        </is>
      </c>
      <c r="B17" s="18" t="inlineStr">
        <is>
          <t>Sửa mãi chưa dám gửi</t>
        </is>
      </c>
      <c r="C17" s="18" t="inlineStr">
        <is>
          <t>Thẻ: "Bạn định gửi rồi, nhưng lại sửa thêm."
Việc nhỏ: "Gửi bản nháp và nói rõ phần nào còn cần góp ý."</t>
        </is>
      </c>
      <c r="D17" s="18" t="inlineStr">
        <is>
          <t>Khuyến khích gửi bản nháp đã đủ ý thay vì sửa mãi.</t>
        </is>
      </c>
      <c r="E17" s="18" t="inlineStr">
        <is>
          <t>Thẳng</t>
        </is>
      </c>
      <c r="F17" s="18" t="inlineStr">
        <is>
          <t>Bản nháp đủ ý rồi đó. Gửi đi để được góp ý.</t>
        </is>
      </c>
      <c r="G17" s="19">
        <f>IF(LEN(TRIM(F17))=0,"",LEN(TRIM(F17))-LEN(SUBSTITUTE(TRIM(F17)," ",""))+1)</f>
        <v/>
      </c>
      <c r="H17" s="18" t="n">
        <v>14</v>
      </c>
      <c r="I17" s="20" t="inlineStr">
        <is>
          <t>Mới</t>
        </is>
      </c>
      <c r="J17" s="21" t="n"/>
      <c r="K17" s="21" t="n"/>
      <c r="L17" s="19">
        <f>IF(LEN(TRIM(K17))=0,"",LEN(TRIM(K17))-LEN(SUBSTITUTE(TRIM(K17)," ",""))+1)</f>
        <v/>
      </c>
      <c r="M17" s="21" t="n"/>
    </row>
    <row r="18">
      <c r="A18" s="18" t="inlineStr">
        <is>
          <t>L07b</t>
        </is>
      </c>
      <c r="B18" s="18" t="inlineStr">
        <is>
          <t>Sửa mãi chưa dám gửi</t>
        </is>
      </c>
      <c r="C18" s="18" t="inlineStr">
        <is>
          <t>Thẻ: "Bạn định gửi rồi, nhưng lại sửa thêm."
Việc nhỏ: "Gửi bản nháp và nói rõ phần nào còn cần góp ý."</t>
        </is>
      </c>
      <c r="D18" s="18" t="inlineStr">
        <is>
          <t>Khuyến khích gửi bản nháp đã đủ ý thay vì sửa mãi.</t>
        </is>
      </c>
      <c r="E18" s="18" t="inlineStr">
        <is>
          <t>Cà khịa</t>
        </is>
      </c>
      <c r="F18" s="18" t="inlineStr">
        <is>
          <t>Sửa tới chữ thứ một trăm rồi. Bấm gửi đi nào.</t>
        </is>
      </c>
      <c r="G18" s="19">
        <f>IF(LEN(TRIM(F18))=0,"",LEN(TRIM(F18))-LEN(SUBSTITUTE(TRIM(F18)," ",""))+1)</f>
        <v/>
      </c>
      <c r="H18" s="18" t="n">
        <v>16</v>
      </c>
      <c r="I18" s="20" t="inlineStr">
        <is>
          <t>Mới</t>
        </is>
      </c>
      <c r="J18" s="21" t="n"/>
      <c r="K18" s="21" t="n"/>
      <c r="L18" s="19">
        <f>IF(LEN(TRIM(K18))=0,"",LEN(TRIM(K18))-LEN(SUBSTITUTE(TRIM(K18)," ",""))+1)</f>
        <v/>
      </c>
      <c r="M18" s="21" t="n"/>
    </row>
    <row r="19">
      <c r="A19" s="18" t="inlineStr">
        <is>
          <t>L08a</t>
        </is>
      </c>
      <c r="B19" s="18" t="inlineStr">
        <is>
          <t>Cả nhóm chốt, mình chưa hiểu</t>
        </is>
      </c>
      <c r="C19" s="18" t="inlineStr">
        <is>
          <t>Thẻ: "Bạn gật đầu, nhưng vẫn chưa hiểu hết."
Việc nhỏ: "Hỏi ngay chỗ đó: Mình chưa rõ phần này, giải thích thêm được không?"</t>
        </is>
      </c>
      <c r="D19" s="18" t="inlineStr">
        <is>
          <t>Hỏi lại chỗ chưa hiểu dù cả nhóm đã chốt.</t>
        </is>
      </c>
      <c r="E19" s="18" t="inlineStr">
        <is>
          <t>Thẳng</t>
        </is>
      </c>
      <c r="F19" s="18" t="inlineStr">
        <is>
          <t>Một câu hỏi bây giờ đỡ phải làm lại sau này.</t>
        </is>
      </c>
      <c r="G19" s="19">
        <f>IF(LEN(TRIM(F19))=0,"",LEN(TRIM(F19))-LEN(SUBSTITUTE(TRIM(F19)," ",""))+1)</f>
        <v/>
      </c>
      <c r="H19" s="18" t="n">
        <v>14</v>
      </c>
      <c r="I19" s="20" t="inlineStr">
        <is>
          <t>Mới</t>
        </is>
      </c>
      <c r="J19" s="21" t="n"/>
      <c r="K19" s="21" t="n"/>
      <c r="L19" s="19">
        <f>IF(LEN(TRIM(K19))=0,"",LEN(TRIM(K19))-LEN(SUBSTITUTE(TRIM(K19)," ",""))+1)</f>
        <v/>
      </c>
      <c r="M19" s="21" t="n"/>
    </row>
    <row r="20">
      <c r="A20" s="18" t="inlineStr">
        <is>
          <t>L08b</t>
        </is>
      </c>
      <c r="B20" s="18" t="inlineStr">
        <is>
          <t>Cả nhóm chốt, mình chưa hiểu</t>
        </is>
      </c>
      <c r="C20" s="18" t="inlineStr">
        <is>
          <t>Thẻ: "Bạn gật đầu, nhưng vẫn chưa hiểu hết."
Việc nhỏ: "Hỏi ngay chỗ đó: Mình chưa rõ phần này, giải thích thêm được không?"</t>
        </is>
      </c>
      <c r="D20" s="18" t="inlineStr">
        <is>
          <t>Hỏi lại chỗ chưa hiểu dù cả nhóm đã chốt.</t>
        </is>
      </c>
      <c r="E20" s="18" t="inlineStr">
        <is>
          <t>Cà khịa</t>
        </is>
      </c>
      <c r="F20" s="18" t="inlineStr">
        <is>
          <t>Gật cho êm rồi lát tự mò một mình à? Hỏi luôn đi.</t>
        </is>
      </c>
      <c r="G20" s="19">
        <f>IF(LEN(TRIM(F20))=0,"",LEN(TRIM(F20))-LEN(SUBSTITUTE(TRIM(F20)," ",""))+1)</f>
        <v/>
      </c>
      <c r="H20" s="18" t="n">
        <v>16</v>
      </c>
      <c r="I20" s="20" t="inlineStr">
        <is>
          <t>Mới</t>
        </is>
      </c>
      <c r="J20" s="21" t="n"/>
      <c r="K20" s="21" t="n"/>
      <c r="L20" s="19">
        <f>IF(LEN(TRIM(K20))=0,"",LEN(TRIM(K20))-LEN(SUBSTITUTE(TRIM(K20)," ",""))+1)</f>
        <v/>
      </c>
      <c r="M20" s="21" t="n"/>
    </row>
    <row r="21">
      <c r="A21" s="18" t="inlineStr">
        <is>
          <t>L09a</t>
        </is>
      </c>
      <c r="B21" s="18" t="inlineStr">
        <is>
          <t>Né nói không</t>
        </is>
      </c>
      <c r="C21" s="18" t="inlineStr">
        <is>
          <t>Thẻ: "Bạn chưa đồng ý, nhưng vẫn nói là được."
Việc nhỏ: "Nói rõ bạn không nhận được việc đó, không cần giải thích quá dài."</t>
        </is>
      </c>
      <c r="D21" s="18" t="inlineStr">
        <is>
          <t>Ủng hộ nói thật điều mình không nhận được.</t>
        </is>
      </c>
      <c r="E21" s="18" t="inlineStr">
        <is>
          <t>Thẳng</t>
        </is>
      </c>
      <c r="F21" s="18" t="inlineStr">
        <is>
          <t>Từ chối nhẹ nhàng vẫn là từ chối. Bạn làm được.</t>
        </is>
      </c>
      <c r="G21" s="19">
        <f>IF(LEN(TRIM(F21))=0,"",LEN(TRIM(F21))-LEN(SUBSTITUTE(TRIM(F21)," ",""))+1)</f>
        <v/>
      </c>
      <c r="H21" s="18" t="n">
        <v>14</v>
      </c>
      <c r="I21" s="20" t="inlineStr">
        <is>
          <t>Mới</t>
        </is>
      </c>
      <c r="J21" s="21" t="n"/>
      <c r="K21" s="21" t="n"/>
      <c r="L21" s="19">
        <f>IF(LEN(TRIM(K21))=0,"",LEN(TRIM(K21))-LEN(SUBSTITUTE(TRIM(K21)," ",""))+1)</f>
        <v/>
      </c>
      <c r="M21" s="21" t="n"/>
    </row>
    <row r="22">
      <c r="A22" s="18" t="inlineStr">
        <is>
          <t>L09b</t>
        </is>
      </c>
      <c r="B22" s="18" t="inlineStr">
        <is>
          <t>Né nói không</t>
        </is>
      </c>
      <c r="C22" s="18" t="inlineStr">
        <is>
          <t>Thẻ: "Bạn chưa đồng ý, nhưng vẫn nói là được."
Việc nhỏ: "Nói rõ bạn không nhận được việc đó, không cần giải thích quá dài."</t>
        </is>
      </c>
      <c r="D22" s="18" t="inlineStr">
        <is>
          <t>Ủng hộ nói thật điều mình không nhận được.</t>
        </is>
      </c>
      <c r="E22" s="18" t="inlineStr">
        <is>
          <t>Cà khịa</t>
        </is>
      </c>
      <c r="F22" s="18" t="inlineStr">
        <is>
          <t>Chữ được bật ra nhanh ghê. Lần này thử nói thật xem.</t>
        </is>
      </c>
      <c r="G22" s="19">
        <f>IF(LEN(TRIM(F22))=0,"",LEN(TRIM(F22))-LEN(SUBSTITUTE(TRIM(F22)," ",""))+1)</f>
        <v/>
      </c>
      <c r="H22" s="18" t="n">
        <v>16</v>
      </c>
      <c r="I22" s="20" t="inlineStr">
        <is>
          <t>Mới</t>
        </is>
      </c>
      <c r="J22" s="21" t="n"/>
      <c r="K22" s="21" t="n"/>
      <c r="L22" s="19">
        <f>IF(LEN(TRIM(K22))=0,"",LEN(TRIM(K22))-LEN(SUBSTITUTE(TRIM(K22)," ",""))+1)</f>
        <v/>
      </c>
      <c r="M22" s="21" t="n"/>
    </row>
    <row r="23">
      <c r="A23" s="18" t="inlineStr">
        <is>
          <t>L10a</t>
        </is>
      </c>
      <c r="B23" s="18" t="inlineStr">
        <is>
          <t>Tiếc công, cố theo lựa chọn cũ</t>
        </is>
      </c>
      <c r="C23" s="18" t="inlineStr">
        <is>
          <t>Thẻ: "Cách cũ chưa hiệu quả, bạn vẫn làm tiếp."
Việc nhỏ: "Kiểm tra kết quả gần nhất trước khi bỏ thêm công."</t>
        </is>
      </c>
      <c r="D23" s="18" t="inlineStr">
        <is>
          <t>Xem kết quả thật trước khi bỏ thêm công.</t>
        </is>
      </c>
      <c r="E23" s="18" t="inlineStr">
        <is>
          <t>Thẳng</t>
        </is>
      </c>
      <c r="F23" s="18" t="inlineStr">
        <is>
          <t>Xem kết quả trước đã, rồi hẵng quyết đi tiếp hay đổi.</t>
        </is>
      </c>
      <c r="G23" s="19">
        <f>IF(LEN(TRIM(F23))=0,"",LEN(TRIM(F23))-LEN(SUBSTITUTE(TRIM(F23)," ",""))+1)</f>
        <v/>
      </c>
      <c r="H23" s="18" t="n">
        <v>14</v>
      </c>
      <c r="I23" s="20" t="inlineStr">
        <is>
          <t>Mới</t>
        </is>
      </c>
      <c r="J23" s="21" t="n"/>
      <c r="K23" s="21" t="n"/>
      <c r="L23" s="19">
        <f>IF(LEN(TRIM(K23))=0,"",LEN(TRIM(K23))-LEN(SUBSTITUTE(TRIM(K23)," ",""))+1)</f>
        <v/>
      </c>
      <c r="M23" s="21" t="n"/>
    </row>
    <row r="24">
      <c r="A24" s="18" t="inlineStr">
        <is>
          <t>L10b</t>
        </is>
      </c>
      <c r="B24" s="18" t="inlineStr">
        <is>
          <t>Tiếc công, cố theo lựa chọn cũ</t>
        </is>
      </c>
      <c r="C24" s="18" t="inlineStr">
        <is>
          <t>Thẻ: "Cách cũ chưa hiệu quả, bạn vẫn làm tiếp."
Việc nhỏ: "Kiểm tra kết quả gần nhất trước khi bỏ thêm công."</t>
        </is>
      </c>
      <c r="D24" s="18" t="inlineStr">
        <is>
          <t>Xem kết quả thật trước khi bỏ thêm công.</t>
        </is>
      </c>
      <c r="E24" s="18" t="inlineStr">
        <is>
          <t>Cà khịa</t>
        </is>
      </c>
      <c r="F24" s="18" t="inlineStr">
        <is>
          <t>Tiếc công thì hiểu, nhưng đừng đổ thêm công vào chỗ chưa ổn.</t>
        </is>
      </c>
      <c r="G24" s="19">
        <f>IF(LEN(TRIM(F24))=0,"",LEN(TRIM(F24))-LEN(SUBSTITUTE(TRIM(F24)," ",""))+1)</f>
        <v/>
      </c>
      <c r="H24" s="18" t="n">
        <v>16</v>
      </c>
      <c r="I24" s="20" t="inlineStr">
        <is>
          <t>Mới</t>
        </is>
      </c>
      <c r="J24" s="21" t="n"/>
      <c r="K24" s="21" t="n"/>
      <c r="L24" s="19">
        <f>IF(LEN(TRIM(K24))=0,"",LEN(TRIM(K24))-LEN(SUBSTITUTE(TRIM(K24)," ",""))+1)</f>
        <v/>
      </c>
      <c r="M24" s="21" t="n"/>
    </row>
    <row r="25">
      <c r="A25" s="18" t="inlineStr">
        <is>
          <t>L11a</t>
        </is>
      </c>
      <c r="B25" s="18" t="inlineStr">
        <is>
          <t>Nhận lời khi chưa xem lịch</t>
        </is>
      </c>
      <c r="C25" s="18" t="inlineStr">
        <is>
          <t>Thẻ: "Bạn muốn giúp, nhưng chưa biết làm lúc nào."
Việc nhỏ: "Kiểm tra lịch rồi nói rõ phần bạn làm được và thời gian cần."</t>
        </is>
      </c>
      <c r="D25" s="18" t="inlineStr">
        <is>
          <t>Xem lịch trước khi nhận thêm việc.</t>
        </is>
      </c>
      <c r="E25" s="18" t="inlineStr">
        <is>
          <t>Thẳng</t>
        </is>
      </c>
      <c r="F25" s="18" t="inlineStr">
        <is>
          <t>Mở lịch ra xem trước, rồi hẵng nhận lời.</t>
        </is>
      </c>
      <c r="G25" s="19">
        <f>IF(LEN(TRIM(F25))=0,"",LEN(TRIM(F25))-LEN(SUBSTITUTE(TRIM(F25)," ",""))+1)</f>
        <v/>
      </c>
      <c r="H25" s="18" t="n">
        <v>14</v>
      </c>
      <c r="I25" s="20" t="inlineStr">
        <is>
          <t>Mới</t>
        </is>
      </c>
      <c r="J25" s="21" t="n"/>
      <c r="K25" s="21" t="n"/>
      <c r="L25" s="19">
        <f>IF(LEN(TRIM(K25))=0,"",LEN(TRIM(K25))-LEN(SUBSTITUTE(TRIM(K25)," ",""))+1)</f>
        <v/>
      </c>
      <c r="M25" s="21" t="n"/>
    </row>
    <row r="26">
      <c r="A26" s="18" t="inlineStr">
        <is>
          <t>L11b</t>
        </is>
      </c>
      <c r="B26" s="18" t="inlineStr">
        <is>
          <t>Nhận lời khi chưa xem lịch</t>
        </is>
      </c>
      <c r="C26" s="18" t="inlineStr">
        <is>
          <t>Thẻ: "Bạn muốn giúp, nhưng chưa biết làm lúc nào."
Việc nhỏ: "Kiểm tra lịch rồi nói rõ phần bạn làm được và thời gian cần."</t>
        </is>
      </c>
      <c r="D26" s="18" t="inlineStr">
        <is>
          <t>Xem lịch trước khi nhận thêm việc.</t>
        </is>
      </c>
      <c r="E26" s="18" t="inlineStr">
        <is>
          <t>Cà khịa</t>
        </is>
      </c>
      <c r="F26" s="18" t="inlineStr">
        <is>
          <t>Lịch kín mít mà vẫn muốn ôm thêm? Xem lịch cái đã.</t>
        </is>
      </c>
      <c r="G26" s="19">
        <f>IF(LEN(TRIM(F26))=0,"",LEN(TRIM(F26))-LEN(SUBSTITUTE(TRIM(F26)," ",""))+1)</f>
        <v/>
      </c>
      <c r="H26" s="18" t="n">
        <v>16</v>
      </c>
      <c r="I26" s="20" t="inlineStr">
        <is>
          <t>Mới</t>
        </is>
      </c>
      <c r="J26" s="21" t="n"/>
      <c r="K26" s="21" t="n"/>
      <c r="L26" s="19">
        <f>IF(LEN(TRIM(K26))=0,"",LEN(TRIM(K26))-LEN(SUBSTITUTE(TRIM(K26)," ",""))+1)</f>
        <v/>
      </c>
      <c r="M26" s="21" t="n"/>
    </row>
    <row r="27">
      <c r="A27" s="18" t="inlineStr">
        <is>
          <t>L12a</t>
        </is>
      </c>
      <c r="B27" s="18" t="inlineStr">
        <is>
          <t>Trả lời vội</t>
        </is>
      </c>
      <c r="C27" s="18" t="inlineStr">
        <is>
          <t>Thẻ: "Bạn định trả lời khi chưa đọc hết."
Việc nhỏ: "Đọc hết tin nhắn rồi viết câu trả lời về đúng điều người kia hỏi."</t>
        </is>
      </c>
      <c r="D27" s="18" t="inlineStr">
        <is>
          <t>Đọc hết tin nhắn rồi mới trả lời.</t>
        </is>
      </c>
      <c r="E27" s="18" t="inlineStr">
        <is>
          <t>Thẳng</t>
        </is>
      </c>
      <c r="F27" s="18" t="inlineStr">
        <is>
          <t>Đọc hết tin rồi hẵng trả lời, chậm vài giây thôi.</t>
        </is>
      </c>
      <c r="G27" s="19">
        <f>IF(LEN(TRIM(F27))=0,"",LEN(TRIM(F27))-LEN(SUBSTITUTE(TRIM(F27)," ",""))+1)</f>
        <v/>
      </c>
      <c r="H27" s="18" t="n">
        <v>14</v>
      </c>
      <c r="I27" s="20" t="inlineStr">
        <is>
          <t>Mới</t>
        </is>
      </c>
      <c r="J27" s="21" t="n"/>
      <c r="K27" s="21" t="n"/>
      <c r="L27" s="19">
        <f>IF(LEN(TRIM(K27))=0,"",LEN(TRIM(K27))-LEN(SUBSTITUTE(TRIM(K27)," ",""))+1)</f>
        <v/>
      </c>
      <c r="M27" s="21" t="n"/>
    </row>
    <row r="28">
      <c r="A28" s="18" t="inlineStr">
        <is>
          <t>L12b</t>
        </is>
      </c>
      <c r="B28" s="18" t="inlineStr">
        <is>
          <t>Trả lời vội</t>
        </is>
      </c>
      <c r="C28" s="18" t="inlineStr">
        <is>
          <t>Thẻ: "Bạn định trả lời khi chưa đọc hết."
Việc nhỏ: "Đọc hết tin nhắn rồi viết câu trả lời về đúng điều người kia hỏi."</t>
        </is>
      </c>
      <c r="D28" s="18" t="inlineStr">
        <is>
          <t>Đọc hết tin nhắn rồi mới trả lời.</t>
        </is>
      </c>
      <c r="E28" s="18" t="inlineStr">
        <is>
          <t>Cà khịa</t>
        </is>
      </c>
      <c r="F28" s="18" t="inlineStr">
        <is>
          <t>Ngón tay nhanh hơn não rồi kìa. Đọc hết đã nha.</t>
        </is>
      </c>
      <c r="G28" s="19">
        <f>IF(LEN(TRIM(F28))=0,"",LEN(TRIM(F28))-LEN(SUBSTITUTE(TRIM(F28)," ",""))+1)</f>
        <v/>
      </c>
      <c r="H28" s="18" t="n">
        <v>16</v>
      </c>
      <c r="I28" s="20" t="inlineStr">
        <is>
          <t>Mới</t>
        </is>
      </c>
      <c r="J28" s="21" t="n"/>
      <c r="K28" s="21" t="n"/>
      <c r="L28" s="19">
        <f>IF(LEN(TRIM(K28))=0,"",LEN(TRIM(K28))-LEN(SUBSTITUTE(TRIM(K28)," ",""))+1)</f>
        <v/>
      </c>
      <c r="M28" s="21" t="n"/>
    </row>
    <row r="29">
      <c r="A29" s="18" t="inlineStr">
        <is>
          <t>L13a</t>
        </is>
      </c>
      <c r="B29" s="18" t="inlineStr">
        <is>
          <t>Lỡ trả lời gắt</t>
        </is>
      </c>
      <c r="C29" s="18" t="inlineStr">
        <is>
          <t>Thẻ: "Bạn gửi rồi mới thấy câu mình hơi gắt."
Việc nhỏ: "Nhắn lại ý bạn muốn nói bằng một câu rõ, không trách người kia."</t>
        </is>
      </c>
      <c r="D29" s="18" t="inlineStr">
        <is>
          <t>Khuyến khích sửa cách nói sau một câu trả lời vội.</t>
        </is>
      </c>
      <c r="E29" s="18" t="inlineStr">
        <is>
          <t>Thẳng</t>
        </is>
      </c>
      <c r="F29" s="18" t="inlineStr">
        <is>
          <t>Lỡ gắt một câu thì nói lại một câu. Vậy là ổn.</t>
        </is>
      </c>
      <c r="G29" s="19">
        <f>IF(LEN(TRIM(F29))=0,"",LEN(TRIM(F29))-LEN(SUBSTITUTE(TRIM(F29)," ",""))+1)</f>
        <v/>
      </c>
      <c r="H29" s="18" t="n">
        <v>14</v>
      </c>
      <c r="I29" s="20" t="inlineStr">
        <is>
          <t>Mới</t>
        </is>
      </c>
      <c r="J29" s="21" t="n"/>
      <c r="K29" s="21" t="n"/>
      <c r="L29" s="19">
        <f>IF(LEN(TRIM(K29))=0,"",LEN(TRIM(K29))-LEN(SUBSTITUTE(TRIM(K29)," ",""))+1)</f>
        <v/>
      </c>
      <c r="M29" s="21" t="n"/>
    </row>
    <row r="30">
      <c r="A30" s="18" t="inlineStr">
        <is>
          <t>L13b</t>
        </is>
      </c>
      <c r="B30" s="18" t="inlineStr">
        <is>
          <t>Lỡ trả lời gắt</t>
        </is>
      </c>
      <c r="C30" s="18" t="inlineStr">
        <is>
          <t>Thẻ: "Bạn gửi rồi mới thấy câu mình hơi gắt."
Việc nhỏ: "Nhắn lại ý bạn muốn nói bằng một câu rõ, không trách người kia."</t>
        </is>
      </c>
      <c r="D30" s="18" t="inlineStr">
        <is>
          <t>Khuyến khích sửa cách nói sau một câu trả lời vội.</t>
        </is>
      </c>
      <c r="E30" s="18" t="inlineStr">
        <is>
          <t>Cà khịa</t>
        </is>
      </c>
      <c r="F30" s="18" t="inlineStr">
        <is>
          <t>Gửi rồi mới thấy gắt hả? Nhắn lại cho dịu, chưa muộn đâu.</t>
        </is>
      </c>
      <c r="G30" s="19">
        <f>IF(LEN(TRIM(F30))=0,"",LEN(TRIM(F30))-LEN(SUBSTITUTE(TRIM(F30)," ",""))+1)</f>
        <v/>
      </c>
      <c r="H30" s="18" t="n">
        <v>16</v>
      </c>
      <c r="I30" s="20" t="inlineStr">
        <is>
          <t>Mới</t>
        </is>
      </c>
      <c r="J30" s="21" t="n"/>
      <c r="K30" s="21" t="n"/>
      <c r="L30" s="19">
        <f>IF(LEN(TRIM(K30))=0,"",LEN(TRIM(K30))-LEN(SUBSTITUTE(TRIM(K30)," ",""))+1)</f>
        <v/>
      </c>
      <c r="M30" s="21" t="n"/>
    </row>
    <row r="31">
      <c r="A31" s="18" t="inlineStr">
        <is>
          <t>L14a</t>
        </is>
      </c>
      <c r="B31" s="18" t="inlineStr">
        <is>
          <t>Xin góp ý chung chung</t>
        </is>
      </c>
      <c r="C31" s="18" t="inlineStr">
        <is>
          <t>Thẻ: "Bạn có bản nháp, nhưng câu hỏi còn chung."
Việc nhỏ: "Chọn một phần trong bản nháp và hỏi người đọc góp ý đúng phần đó."</t>
        </is>
      </c>
      <c r="D31" s="18" t="inlineStr">
        <is>
          <t>Khuyến khích hỏi góp ý cho đúng một phần cụ thể.</t>
        </is>
      </c>
      <c r="E31" s="18" t="inlineStr">
        <is>
          <t>Thẳng</t>
        </is>
      </c>
      <c r="F31" s="18" t="inlineStr">
        <is>
          <t>Hỏi đúng một chỗ, bạn sẽ nhận góp ý đúng chỗ.</t>
        </is>
      </c>
      <c r="G31" s="19">
        <f>IF(LEN(TRIM(F31))=0,"",LEN(TRIM(F31))-LEN(SUBSTITUTE(TRIM(F31)," ",""))+1)</f>
        <v/>
      </c>
      <c r="H31" s="18" t="n">
        <v>14</v>
      </c>
      <c r="I31" s="20" t="inlineStr">
        <is>
          <t>Mới</t>
        </is>
      </c>
      <c r="J31" s="21" t="n"/>
      <c r="K31" s="21" t="n"/>
      <c r="L31" s="19">
        <f>IF(LEN(TRIM(K31))=0,"",LEN(TRIM(K31))-LEN(SUBSTITUTE(TRIM(K31)," ",""))+1)</f>
        <v/>
      </c>
      <c r="M31" s="21" t="n"/>
    </row>
    <row r="32">
      <c r="A32" s="18" t="inlineStr">
        <is>
          <t>L14b</t>
        </is>
      </c>
      <c r="B32" s="18" t="inlineStr">
        <is>
          <t>Xin góp ý chung chung</t>
        </is>
      </c>
      <c r="C32" s="18" t="inlineStr">
        <is>
          <t>Thẻ: "Bạn có bản nháp, nhưng câu hỏi còn chung."
Việc nhỏ: "Chọn một phần trong bản nháp và hỏi người đọc góp ý đúng phần đó."</t>
        </is>
      </c>
      <c r="D32" s="18" t="inlineStr">
        <is>
          <t>Khuyến khích hỏi góp ý cho đúng một phần cụ thể.</t>
        </is>
      </c>
      <c r="E32" s="18" t="inlineStr">
        <is>
          <t>Cà khịa</t>
        </is>
      </c>
      <c r="F32" s="18" t="inlineStr">
        <is>
          <t>Hỏi thấy sao thì nhận về cũng được thôi. Hỏi cụ thể đi.</t>
        </is>
      </c>
      <c r="G32" s="19">
        <f>IF(LEN(TRIM(F32))=0,"",LEN(TRIM(F32))-LEN(SUBSTITUTE(TRIM(F32)," ",""))+1)</f>
        <v/>
      </c>
      <c r="H32" s="18" t="n">
        <v>16</v>
      </c>
      <c r="I32" s="20" t="inlineStr">
        <is>
          <t>Mới</t>
        </is>
      </c>
      <c r="J32" s="21" t="n"/>
      <c r="K32" s="21" t="n"/>
      <c r="L32" s="19">
        <f>IF(LEN(TRIM(K32))=0,"",LEN(TRIM(K32))-LEN(SUBSTITUTE(TRIM(K32)," ",""))+1)</f>
        <v/>
      </c>
      <c r="M32" s="21" t="n"/>
    </row>
    <row r="33">
      <c r="A33" s="18" t="inlineStr">
        <is>
          <t>L15a</t>
        </is>
      </c>
      <c r="B33" s="18" t="inlineStr">
        <is>
          <t>Chưa nói rõ mình cần gì</t>
        </is>
      </c>
      <c r="C33" s="18" t="inlineStr">
        <is>
          <t>Thẻ: "Bạn muốn được giúp nhưng chưa nói cần gì."
Việc nhỏ: "Nói một việc cụ thể bạn cần giúp và hỏi người kia có làm được không."</t>
        </is>
      </c>
      <c r="D33" s="18" t="inlineStr">
        <is>
          <t>Khuyến khích nói rõ một việc cụ thể cần được giúp.</t>
        </is>
      </c>
      <c r="E33" s="18" t="inlineStr">
        <is>
          <t>Thẳng</t>
        </is>
      </c>
      <c r="F33" s="18" t="inlineStr">
        <is>
          <t>Nói rõ một việc cần giúp, người kia mới giúp đúng được.</t>
        </is>
      </c>
      <c r="G33" s="19">
        <f>IF(LEN(TRIM(F33))=0,"",LEN(TRIM(F33))-LEN(SUBSTITUTE(TRIM(F33)," ",""))+1)</f>
        <v/>
      </c>
      <c r="H33" s="18" t="n">
        <v>14</v>
      </c>
      <c r="I33" s="20" t="inlineStr">
        <is>
          <t>Mới</t>
        </is>
      </c>
      <c r="J33" s="21" t="n"/>
      <c r="K33" s="21" t="n"/>
      <c r="L33" s="19">
        <f>IF(LEN(TRIM(K33))=0,"",LEN(TRIM(K33))-LEN(SUBSTITUTE(TRIM(K33)," ",""))+1)</f>
        <v/>
      </c>
      <c r="M33" s="21" t="n"/>
    </row>
    <row r="34">
      <c r="A34" s="18" t="inlineStr">
        <is>
          <t>L15b</t>
        </is>
      </c>
      <c r="B34" s="18" t="inlineStr">
        <is>
          <t>Chưa nói rõ mình cần gì</t>
        </is>
      </c>
      <c r="C34" s="18" t="inlineStr">
        <is>
          <t>Thẻ: "Bạn muốn được giúp nhưng chưa nói cần gì."
Việc nhỏ: "Nói một việc cụ thể bạn cần giúp và hỏi người kia có làm được không."</t>
        </is>
      </c>
      <c r="D34" s="18" t="inlineStr">
        <is>
          <t>Khuyến khích nói rõ một việc cụ thể cần được giúp.</t>
        </is>
      </c>
      <c r="E34" s="18" t="inlineStr">
        <is>
          <t>Cà khịa</t>
        </is>
      </c>
      <c r="F34" s="18" t="inlineStr">
        <is>
          <t>Than mệt thì được an ủi, nói cần gì mới được giúp.</t>
        </is>
      </c>
      <c r="G34" s="19">
        <f>IF(LEN(TRIM(F34))=0,"",LEN(TRIM(F34))-LEN(SUBSTITUTE(TRIM(F34)," ",""))+1)</f>
        <v/>
      </c>
      <c r="H34" s="18" t="n">
        <v>16</v>
      </c>
      <c r="I34" s="20" t="inlineStr">
        <is>
          <t>Mới</t>
        </is>
      </c>
      <c r="J34" s="21" t="n"/>
      <c r="K34" s="21" t="n"/>
      <c r="L34" s="19">
        <f>IF(LEN(TRIM(K34))=0,"",LEN(TRIM(K34))-LEN(SUBSTITUTE(TRIM(K34)," ",""))+1)</f>
        <v/>
      </c>
      <c r="M34" s="21" t="n"/>
    </row>
    <row r="35">
      <c r="A35" s="18" t="inlineStr">
        <is>
          <t>L16a</t>
        </is>
      </c>
      <c r="B35" s="18" t="inlineStr">
        <is>
          <t>Dự phòng (thẻ cũ / không khớp vấn đề)</t>
        </is>
      </c>
      <c r="C35" s="18" t="inlineStr">
        <is>
          <t>Thẻ không thuộc 15 vấn đề trên</t>
        </is>
      </c>
      <c r="D35" s="18" t="inlineStr">
        <is>
          <t>Thử việc nhỏ trong note thay vì chỉ đọc xong rồi thôi.</t>
        </is>
      </c>
      <c r="E35" s="18" t="inlineStr">
        <is>
          <t>Thẳng</t>
        </is>
      </c>
      <c r="F35" s="18" t="inlineStr">
        <is>
          <t>Đọc xong rồi thì thử một việc nhỏ nhé.</t>
        </is>
      </c>
      <c r="G35" s="19">
        <f>IF(LEN(TRIM(F35))=0,"",LEN(TRIM(F35))-LEN(SUBSTITUTE(TRIM(F35)," ",""))+1)</f>
        <v/>
      </c>
      <c r="H35" s="18" t="n">
        <v>14</v>
      </c>
      <c r="I35" s="20" t="inlineStr">
        <is>
          <t>Mới</t>
        </is>
      </c>
      <c r="J35" s="21" t="n"/>
      <c r="K35" s="21" t="n"/>
      <c r="L35" s="19">
        <f>IF(LEN(TRIM(K35))=0,"",LEN(TRIM(K35))-LEN(SUBSTITUTE(TRIM(K35)," ",""))+1)</f>
        <v/>
      </c>
      <c r="M35" s="21" t="n"/>
    </row>
    <row r="36">
      <c r="A36" s="18" t="inlineStr">
        <is>
          <t>L16b</t>
        </is>
      </c>
      <c r="B36" s="18" t="inlineStr">
        <is>
          <t>Dự phòng (thẻ cũ / không khớp vấn đề)</t>
        </is>
      </c>
      <c r="C36" s="18" t="inlineStr">
        <is>
          <t>Thẻ không thuộc 15 vấn đề trên</t>
        </is>
      </c>
      <c r="D36" s="18" t="inlineStr">
        <is>
          <t>Thử việc nhỏ trong note thay vì chỉ đọc xong rồi thôi.</t>
        </is>
      </c>
      <c r="E36" s="18" t="inlineStr">
        <is>
          <t>Cà khịa</t>
        </is>
      </c>
      <c r="F36" s="18" t="inlineStr">
        <is>
          <t>Đọc xong nhớ thử. Đừng chỉ gật đầu cho đẹp.</t>
        </is>
      </c>
      <c r="G36" s="19">
        <f>IF(LEN(TRIM(F36))=0,"",LEN(TRIM(F36))-LEN(SUBSTITUTE(TRIM(F36)," ",""))+1)</f>
        <v/>
      </c>
      <c r="H36" s="18" t="n">
        <v>16</v>
      </c>
      <c r="I36" s="20" t="inlineStr">
        <is>
          <t>Mới</t>
        </is>
      </c>
      <c r="J36" s="21" t="n"/>
      <c r="K36" s="21" t="n"/>
      <c r="L36" s="19">
        <f>IF(LEN(TRIM(K36))=0,"",LEN(TRIM(K36))-LEN(SUBSTITUTE(TRIM(K36)," ",""))+1)</f>
        <v/>
      </c>
      <c r="M36" s="21" t="n"/>
    </row>
  </sheetData>
  <autoFilter ref="A4:M36"/>
  <mergeCells count="1">
    <mergeCell ref="A2:M2"/>
  </mergeCells>
  <conditionalFormatting sqref="G5:G36">
    <cfRule type="expression" priority="1" dxfId="0">
      <formula>AND(ISNUMBER(G5),G5&gt;$H5)</formula>
    </cfRule>
  </conditionalFormatting>
  <conditionalFormatting sqref="L5:L36">
    <cfRule type="expression" priority="2" dxfId="0">
      <formula>AND(ISNUMBER(L5),L5&gt;$H5)</formula>
    </cfRule>
  </conditionalFormatting>
  <dataValidations count="1">
    <dataValidation sqref="J5:J36" showDropDown="0" showInputMessage="0" showErrorMessage="1" allowBlank="1" errorTitle="Chọn từ danh sách" error="Chọn Duyệt, Sửa hoặc Bỏ." type="list">
      <formula1>"Duyệt,Sửa,Bỏ"</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26" customWidth="1" min="3" max="3"/>
    <col width="9" customWidth="1" min="4" max="4"/>
    <col width="46" customWidth="1" min="5" max="5"/>
    <col width="7" customWidth="1" min="6" max="6"/>
    <col width="7" customWidth="1" min="7" max="7"/>
    <col width="12" customWidth="1" min="8" max="8"/>
    <col width="40" customWidth="1" min="9" max="9"/>
    <col width="12" customWidth="1" min="10" max="10"/>
    <col width="42" customWidth="1" min="11" max="11"/>
    <col width="9" customWidth="1" min="12" max="12"/>
    <col width="28" customWidth="1" min="13" max="13"/>
  </cols>
  <sheetData>
    <row r="1">
      <c r="A1" s="15" t="inlineStr">
        <is>
          <t>Lời chào, dòng chờ và phản hồi mood</t>
        </is>
      </c>
    </row>
    <row r="2" ht="30" customHeight="1">
      <c r="A2" s="16" t="inlineStr">
        <is>
          <t>Đã có từ trước, nay chuyển vào content matrix. Ba câu Cà khịa được viết lại vì vi phạm chuẩn nội dung (“xem số phận”, “Lá biết hết á”, “Vũ trụ đang gõ”) — tô cam. Các câu ‘Giữ nguyên’ chỉ cần xác nhận.</t>
        </is>
      </c>
    </row>
    <row r="4" ht="32" customHeight="1">
      <c r="A4" s="17" t="inlineStr">
        <is>
          <t>Mã</t>
        </is>
      </c>
      <c r="B4" s="17" t="inlineStr">
        <is>
          <t>Nhóm</t>
        </is>
      </c>
      <c r="C4" s="17" t="inlineStr">
        <is>
          <t>Khi nào hiện</t>
        </is>
      </c>
      <c r="D4" s="17" t="inlineStr">
        <is>
          <t>Giọng</t>
        </is>
      </c>
      <c r="E4" s="17" t="inlineStr">
        <is>
          <t>Câu hiện tại</t>
        </is>
      </c>
      <c r="F4" s="17" t="inlineStr">
        <is>
          <t>Số từ</t>
        </is>
      </c>
      <c r="G4" s="17" t="inlineStr">
        <is>
          <t>Tối đa</t>
        </is>
      </c>
      <c r="H4" s="17" t="inlineStr">
        <is>
          <t>Trạng thái</t>
        </is>
      </c>
      <c r="I4" s="17" t="inlineStr">
        <is>
          <t>Câu cũ (nếu Sửa)</t>
        </is>
      </c>
      <c r="J4" s="17" t="inlineStr">
        <is>
          <t>Quyết định</t>
        </is>
      </c>
      <c r="K4" s="17" t="inlineStr">
        <is>
          <t>Câu đề xuất (nếu Sửa)</t>
        </is>
      </c>
      <c r="L4" s="17" t="inlineStr">
        <is>
          <t>Số từ đề xuất</t>
        </is>
      </c>
      <c r="M4" s="17" t="inlineStr">
        <is>
          <t>Ghi chú</t>
        </is>
      </c>
    </row>
    <row r="5">
      <c r="A5" s="18" t="inlineStr">
        <is>
          <t>C-morning-a</t>
        </is>
      </c>
      <c r="B5" s="18" t="inlineStr">
        <is>
          <t>Lời chào</t>
        </is>
      </c>
      <c r="C5" s="18" t="inlineStr">
        <is>
          <t>Sáng (5–11h)</t>
        </is>
      </c>
      <c r="D5" s="18" t="inlineStr">
        <is>
          <t>Thẳng</t>
        </is>
      </c>
      <c r="E5" s="18" t="inlineStr">
        <is>
          <t>Chào buổi sáng. Lá để sẵn note hôm nay cho bạn rồi.</t>
        </is>
      </c>
      <c r="F5" s="19">
        <f>IF(LEN(TRIM(E5))=0,"",LEN(TRIM(E5))-LEN(SUBSTITUTE(TRIM(E5)," ",""))+1)</f>
        <v/>
      </c>
      <c r="G5" s="18" t="n">
        <v>18</v>
      </c>
      <c r="H5" s="18" t="inlineStr">
        <is>
          <t>Giữ nguyên</t>
        </is>
      </c>
      <c r="I5" s="18" t="n"/>
      <c r="J5" s="21" t="n"/>
      <c r="K5" s="21" t="n"/>
      <c r="L5" s="19">
        <f>IF(LEN(TRIM(K5))=0,"",LEN(TRIM(K5))-LEN(SUBSTITUTE(TRIM(K5)," ",""))+1)</f>
        <v/>
      </c>
      <c r="M5" s="21" t="n"/>
    </row>
    <row r="6">
      <c r="A6" s="18" t="inlineStr">
        <is>
          <t>C-morning-b</t>
        </is>
      </c>
      <c r="B6" s="18" t="inlineStr">
        <is>
          <t>Lời chào</t>
        </is>
      </c>
      <c r="C6" s="18" t="inlineStr">
        <is>
          <t>Sáng (5–11h)</t>
        </is>
      </c>
      <c r="D6" s="18" t="inlineStr">
        <is>
          <t>Cà khịa</t>
        </is>
      </c>
      <c r="E6" s="18" t="inlineStr">
        <is>
          <t>Dậy rồi đó hả? Note hôm nay Lá để sẵn, đọc trước khi lướt TikTok nha.</t>
        </is>
      </c>
      <c r="F6" s="19">
        <f>IF(LEN(TRIM(E6))=0,"",LEN(TRIM(E6))-LEN(SUBSTITUTE(TRIM(E6)," ",""))+1)</f>
        <v/>
      </c>
      <c r="G6" s="18" t="n">
        <v>18</v>
      </c>
      <c r="H6" s="18" t="inlineStr">
        <is>
          <t>Giữ nguyên</t>
        </is>
      </c>
      <c r="I6" s="18" t="n"/>
      <c r="J6" s="21" t="n"/>
      <c r="K6" s="21" t="n"/>
      <c r="L6" s="19">
        <f>IF(LEN(TRIM(K6))=0,"",LEN(TRIM(K6))-LEN(SUBSTITUTE(TRIM(K6)," ",""))+1)</f>
        <v/>
      </c>
      <c r="M6" s="21" t="n"/>
    </row>
    <row r="7">
      <c r="A7" s="18" t="inlineStr">
        <is>
          <t>C-noon-a</t>
        </is>
      </c>
      <c r="B7" s="18" t="inlineStr">
        <is>
          <t>Lời chào</t>
        </is>
      </c>
      <c r="C7" s="18" t="inlineStr">
        <is>
          <t>Trưa (11–14h)</t>
        </is>
      </c>
      <c r="D7" s="18" t="inlineStr">
        <is>
          <t>Thẳng</t>
        </is>
      </c>
      <c r="E7" s="18" t="inlineStr">
        <is>
          <t>Giữa ngày rồi. Ghé Lá một chút nhé.</t>
        </is>
      </c>
      <c r="F7" s="19">
        <f>IF(LEN(TRIM(E7))=0,"",LEN(TRIM(E7))-LEN(SUBSTITUTE(TRIM(E7)," ",""))+1)</f>
        <v/>
      </c>
      <c r="G7" s="18" t="n">
        <v>18</v>
      </c>
      <c r="H7" s="18" t="inlineStr">
        <is>
          <t>Giữ nguyên</t>
        </is>
      </c>
      <c r="I7" s="18" t="n"/>
      <c r="J7" s="21" t="n"/>
      <c r="K7" s="21" t="n"/>
      <c r="L7" s="19">
        <f>IF(LEN(TRIM(K7))=0,"",LEN(TRIM(K7))-LEN(SUBSTITUTE(TRIM(K7)," ",""))+1)</f>
        <v/>
      </c>
      <c r="M7" s="21" t="n"/>
    </row>
    <row r="8">
      <c r="A8" s="18" t="inlineStr">
        <is>
          <t>C-noon-b</t>
        </is>
      </c>
      <c r="B8" s="18" t="inlineStr">
        <is>
          <t>Lời chào</t>
        </is>
      </c>
      <c r="C8" s="18" t="inlineStr">
        <is>
          <t>Trưa (11–14h)</t>
        </is>
      </c>
      <c r="D8" s="18" t="inlineStr">
        <is>
          <t>Cà khịa</t>
        </is>
      </c>
      <c r="E8" s="18" t="inlineStr">
        <is>
          <t>Giữa trưa rồi, ăn gì chưa? Ăn xong ghé đọc note nha.</t>
        </is>
      </c>
      <c r="F8" s="19">
        <f>IF(LEN(TRIM(E8))=0,"",LEN(TRIM(E8))-LEN(SUBSTITUTE(TRIM(E8)," ",""))+1)</f>
        <v/>
      </c>
      <c r="G8" s="18" t="n">
        <v>18</v>
      </c>
      <c r="H8" s="22" t="inlineStr">
        <is>
          <t>Sửa</t>
        </is>
      </c>
      <c r="I8" s="18" t="inlineStr">
        <is>
          <t>Giữa trưa rồi, ăn chưa mà đã mở app xem số phận? Đùa thôi, xem note đi.</t>
        </is>
      </c>
      <c r="J8" s="21" t="n"/>
      <c r="K8" s="21" t="n"/>
      <c r="L8" s="19">
        <f>IF(LEN(TRIM(K8))=0,"",LEN(TRIM(K8))-LEN(SUBSTITUTE(TRIM(K8)," ",""))+1)</f>
        <v/>
      </c>
      <c r="M8" s="21" t="n"/>
    </row>
    <row r="9">
      <c r="A9" s="18" t="inlineStr">
        <is>
          <t>C-afternoon-a</t>
        </is>
      </c>
      <c r="B9" s="18" t="inlineStr">
        <is>
          <t>Lời chào</t>
        </is>
      </c>
      <c r="C9" s="18" t="inlineStr">
        <is>
          <t>Chiều (14–18h)</t>
        </is>
      </c>
      <c r="D9" s="18" t="inlineStr">
        <is>
          <t>Thẳng</t>
        </is>
      </c>
      <c r="E9" s="18" t="inlineStr">
        <is>
          <t>Chiều rồi. Xem nhanh điều đáng để ý hôm nay?</t>
        </is>
      </c>
      <c r="F9" s="19">
        <f>IF(LEN(TRIM(E9))=0,"",LEN(TRIM(E9))-LEN(SUBSTITUTE(TRIM(E9)," ",""))+1)</f>
        <v/>
      </c>
      <c r="G9" s="18" t="n">
        <v>18</v>
      </c>
      <c r="H9" s="18" t="inlineStr">
        <is>
          <t>Giữ nguyên</t>
        </is>
      </c>
      <c r="I9" s="18" t="n"/>
      <c r="J9" s="21" t="n"/>
      <c r="K9" s="21" t="n"/>
      <c r="L9" s="19">
        <f>IF(LEN(TRIM(K9))=0,"",LEN(TRIM(K9))-LEN(SUBSTITUTE(TRIM(K9)," ",""))+1)</f>
        <v/>
      </c>
      <c r="M9" s="21" t="n"/>
    </row>
    <row r="10">
      <c r="A10" s="18" t="inlineStr">
        <is>
          <t>C-afternoon-b</t>
        </is>
      </c>
      <c r="B10" s="18" t="inlineStr">
        <is>
          <t>Lời chào</t>
        </is>
      </c>
      <c r="C10" s="18" t="inlineStr">
        <is>
          <t>Chiều (14–18h)</t>
        </is>
      </c>
      <c r="D10" s="18" t="inlineStr">
        <is>
          <t>Cà khịa</t>
        </is>
      </c>
      <c r="E10" s="18" t="inlineStr">
        <is>
          <t>Chiều rồi mà việc sáng còn dang dở hả? Đọc note rồi làm tiếp.</t>
        </is>
      </c>
      <c r="F10" s="19">
        <f>IF(LEN(TRIM(E10))=0,"",LEN(TRIM(E10))-LEN(SUBSTITUTE(TRIM(E10)," ",""))+1)</f>
        <v/>
      </c>
      <c r="G10" s="18" t="n">
        <v>18</v>
      </c>
      <c r="H10" s="22" t="inlineStr">
        <is>
          <t>Sửa</t>
        </is>
      </c>
      <c r="I10" s="18" t="inlineStr">
        <is>
          <t>Chiều rồi mà vẫn chưa xong việc buổi sáng hả? Lá biết hết á.</t>
        </is>
      </c>
      <c r="J10" s="21" t="n"/>
      <c r="K10" s="21" t="n"/>
      <c r="L10" s="19">
        <f>IF(LEN(TRIM(K10))=0,"",LEN(TRIM(K10))-LEN(SUBSTITUTE(TRIM(K10)," ",""))+1)</f>
        <v/>
      </c>
      <c r="M10" s="21" t="n"/>
    </row>
    <row r="11">
      <c r="A11" s="18" t="inlineStr">
        <is>
          <t>C-evening-a</t>
        </is>
      </c>
      <c r="B11" s="18" t="inlineStr">
        <is>
          <t>Lời chào</t>
        </is>
      </c>
      <c r="C11" s="18" t="inlineStr">
        <is>
          <t>Tối (18–22h)</t>
        </is>
      </c>
      <c r="D11" s="18" t="inlineStr">
        <is>
          <t>Thẳng</t>
        </is>
      </c>
      <c r="E11" s="18" t="inlineStr">
        <is>
          <t>Tối rồi. Ngồi xuống với Lá một nhịp.</t>
        </is>
      </c>
      <c r="F11" s="19">
        <f>IF(LEN(TRIM(E11))=0,"",LEN(TRIM(E11))-LEN(SUBSTITUTE(TRIM(E11)," ",""))+1)</f>
        <v/>
      </c>
      <c r="G11" s="18" t="n">
        <v>18</v>
      </c>
      <c r="H11" s="18" t="inlineStr">
        <is>
          <t>Giữ nguyên</t>
        </is>
      </c>
      <c r="I11" s="18" t="n"/>
      <c r="J11" s="21" t="n"/>
      <c r="K11" s="21" t="n"/>
      <c r="L11" s="19">
        <f>IF(LEN(TRIM(K11))=0,"",LEN(TRIM(K11))-LEN(SUBSTITUTE(TRIM(K11)," ",""))+1)</f>
        <v/>
      </c>
      <c r="M11" s="21" t="n"/>
    </row>
    <row r="12">
      <c r="A12" s="18" t="inlineStr">
        <is>
          <t>C-evening-b</t>
        </is>
      </c>
      <c r="B12" s="18" t="inlineStr">
        <is>
          <t>Lời chào</t>
        </is>
      </c>
      <c r="C12" s="18" t="inlineStr">
        <is>
          <t>Tối (18–22h)</t>
        </is>
      </c>
      <c r="D12" s="18" t="inlineStr">
        <is>
          <t>Cà khịa</t>
        </is>
      </c>
      <c r="E12" s="18" t="inlineStr">
        <is>
          <t>Tối rồi. Ngồi xuống, kể Lá nghe hôm nay ai làm bạn cạn pin.</t>
        </is>
      </c>
      <c r="F12" s="19">
        <f>IF(LEN(TRIM(E12))=0,"",LEN(TRIM(E12))-LEN(SUBSTITUTE(TRIM(E12)," ",""))+1)</f>
        <v/>
      </c>
      <c r="G12" s="18" t="n">
        <v>18</v>
      </c>
      <c r="H12" s="18" t="inlineStr">
        <is>
          <t>Giữ nguyên</t>
        </is>
      </c>
      <c r="I12" s="18" t="n"/>
      <c r="J12" s="21" t="n"/>
      <c r="K12" s="21" t="n"/>
      <c r="L12" s="19">
        <f>IF(LEN(TRIM(K12))=0,"",LEN(TRIM(K12))-LEN(SUBSTITUTE(TRIM(K12)," ",""))+1)</f>
        <v/>
      </c>
      <c r="M12" s="21" t="n"/>
    </row>
    <row r="13">
      <c r="A13" s="18" t="inlineStr">
        <is>
          <t>C-late-a</t>
        </is>
      </c>
      <c r="B13" s="18" t="inlineStr">
        <is>
          <t>Lời chào</t>
        </is>
      </c>
      <c r="C13" s="18" t="inlineStr">
        <is>
          <t>Khuya (22–5h)</t>
        </is>
      </c>
      <c r="D13" s="18" t="inlineStr">
        <is>
          <t>Thẳng</t>
        </is>
      </c>
      <c r="E13" s="18" t="inlineStr">
        <is>
          <t>Khuya rồi đó. Đọc nhẹ thôi rồi đi ngủ nhé.</t>
        </is>
      </c>
      <c r="F13" s="19">
        <f>IF(LEN(TRIM(E13))=0,"",LEN(TRIM(E13))-LEN(SUBSTITUTE(TRIM(E13)," ",""))+1)</f>
        <v/>
      </c>
      <c r="G13" s="18" t="n">
        <v>18</v>
      </c>
      <c r="H13" s="18" t="inlineStr">
        <is>
          <t>Giữ nguyên</t>
        </is>
      </c>
      <c r="I13" s="18" t="n"/>
      <c r="J13" s="21" t="n"/>
      <c r="K13" s="21" t="n"/>
      <c r="L13" s="19">
        <f>IF(LEN(TRIM(K13))=0,"",LEN(TRIM(K13))-LEN(SUBSTITUTE(TRIM(K13)," ",""))+1)</f>
        <v/>
      </c>
      <c r="M13" s="21" t="n"/>
    </row>
    <row r="14">
      <c r="A14" s="18" t="inlineStr">
        <is>
          <t>C-late-b</t>
        </is>
      </c>
      <c r="B14" s="18" t="inlineStr">
        <is>
          <t>Lời chào</t>
        </is>
      </c>
      <c r="C14" s="18" t="inlineStr">
        <is>
          <t>Khuya (22–5h)</t>
        </is>
      </c>
      <c r="D14" s="18" t="inlineStr">
        <is>
          <t>Cà khịa</t>
        </is>
      </c>
      <c r="E14" s="18" t="inlineStr">
        <is>
          <t>Khuya vậy còn thức? Đọc nhanh rồi cất điện thoại, mai còn làm người.</t>
        </is>
      </c>
      <c r="F14" s="19">
        <f>IF(LEN(TRIM(E14))=0,"",LEN(TRIM(E14))-LEN(SUBSTITUTE(TRIM(E14)," ",""))+1)</f>
        <v/>
      </c>
      <c r="G14" s="18" t="n">
        <v>18</v>
      </c>
      <c r="H14" s="18" t="inlineStr">
        <is>
          <t>Giữ nguyên</t>
        </is>
      </c>
      <c r="I14" s="18" t="n"/>
      <c r="J14" s="21" t="n"/>
      <c r="K14" s="21" t="n"/>
      <c r="L14" s="19">
        <f>IF(LEN(TRIM(K14))=0,"",LEN(TRIM(K14))-LEN(SUBSTITUTE(TRIM(K14)," ",""))+1)</f>
        <v/>
      </c>
      <c r="M14" s="21" t="n"/>
    </row>
    <row r="15">
      <c r="A15" s="18" t="inlineStr">
        <is>
          <t>T-1-a</t>
        </is>
      </c>
      <c r="B15" s="18" t="inlineStr">
        <is>
          <t>Đang tải</t>
        </is>
      </c>
      <c r="C15" s="18" t="inlineStr">
        <is>
          <t>Dòng chờ #1 (xoay vòng khi tải)</t>
        </is>
      </c>
      <c r="D15" s="18" t="inlineStr">
        <is>
          <t>Thẳng</t>
        </is>
      </c>
      <c r="E15" s="18" t="inlineStr">
        <is>
          <t>Lá đang dò sóng…</t>
        </is>
      </c>
      <c r="F15" s="19">
        <f>IF(LEN(TRIM(E15))=0,"",LEN(TRIM(E15))-LEN(SUBSTITUTE(TRIM(E15)," ",""))+1)</f>
        <v/>
      </c>
      <c r="G15" s="18" t="n">
        <v>18</v>
      </c>
      <c r="H15" s="18" t="inlineStr">
        <is>
          <t>Giữ nguyên</t>
        </is>
      </c>
      <c r="I15" s="18" t="n"/>
      <c r="J15" s="21" t="n"/>
      <c r="K15" s="21" t="n"/>
      <c r="L15" s="19">
        <f>IF(LEN(TRIM(K15))=0,"",LEN(TRIM(K15))-LEN(SUBSTITUTE(TRIM(K15)," ",""))+1)</f>
        <v/>
      </c>
      <c r="M15" s="21" t="n"/>
    </row>
    <row r="16">
      <c r="A16" s="18" t="inlineStr">
        <is>
          <t>T-1-b</t>
        </is>
      </c>
      <c r="B16" s="18" t="inlineStr">
        <is>
          <t>Đang tải</t>
        </is>
      </c>
      <c r="C16" s="18" t="inlineStr">
        <is>
          <t>Dòng chờ #1 (xoay vòng khi tải)</t>
        </is>
      </c>
      <c r="D16" s="18" t="inlineStr">
        <is>
          <t>Cà khịa</t>
        </is>
      </c>
      <c r="E16" s="18" t="inlineStr">
        <is>
          <t>Đợi xíu, Lá đang soi bạn…</t>
        </is>
      </c>
      <c r="F16" s="19">
        <f>IF(LEN(TRIM(E16))=0,"",LEN(TRIM(E16))-LEN(SUBSTITUTE(TRIM(E16)," ",""))+1)</f>
        <v/>
      </c>
      <c r="G16" s="18" t="n">
        <v>18</v>
      </c>
      <c r="H16" s="18" t="inlineStr">
        <is>
          <t>Giữ nguyên</t>
        </is>
      </c>
      <c r="I16" s="18" t="n"/>
      <c r="J16" s="21" t="n"/>
      <c r="K16" s="21" t="n"/>
      <c r="L16" s="19">
        <f>IF(LEN(TRIM(K16))=0,"",LEN(TRIM(K16))-LEN(SUBSTITUTE(TRIM(K16)," ",""))+1)</f>
        <v/>
      </c>
      <c r="M16" s="21" t="n"/>
    </row>
    <row r="17">
      <c r="A17" s="18" t="inlineStr">
        <is>
          <t>T-2-a</t>
        </is>
      </c>
      <c r="B17" s="18" t="inlineStr">
        <is>
          <t>Đang tải</t>
        </is>
      </c>
      <c r="C17" s="18" t="inlineStr">
        <is>
          <t>Dòng chờ #2 (xoay vòng khi tải)</t>
        </is>
      </c>
      <c r="D17" s="18" t="inlineStr">
        <is>
          <t>Thẳng</t>
        </is>
      </c>
      <c r="E17" s="18" t="inlineStr">
        <is>
          <t>Lá đang lật trang lá số…</t>
        </is>
      </c>
      <c r="F17" s="19">
        <f>IF(LEN(TRIM(E17))=0,"",LEN(TRIM(E17))-LEN(SUBSTITUTE(TRIM(E17)," ",""))+1)</f>
        <v/>
      </c>
      <c r="G17" s="18" t="n">
        <v>18</v>
      </c>
      <c r="H17" s="18" t="inlineStr">
        <is>
          <t>Giữ nguyên</t>
        </is>
      </c>
      <c r="I17" s="18" t="n"/>
      <c r="J17" s="21" t="n"/>
      <c r="K17" s="21" t="n"/>
      <c r="L17" s="19">
        <f>IF(LEN(TRIM(K17))=0,"",LEN(TRIM(K17))-LEN(SUBSTITUTE(TRIM(K17)," ",""))+1)</f>
        <v/>
      </c>
      <c r="M17" s="21" t="n"/>
    </row>
    <row r="18">
      <c r="A18" s="18" t="inlineStr">
        <is>
          <t>T-2-b</t>
        </is>
      </c>
      <c r="B18" s="18" t="inlineStr">
        <is>
          <t>Đang tải</t>
        </is>
      </c>
      <c r="C18" s="18" t="inlineStr">
        <is>
          <t>Dòng chờ #2 (xoay vòng khi tải)</t>
        </is>
      </c>
      <c r="D18" s="18" t="inlineStr">
        <is>
          <t>Cà khịa</t>
        </is>
      </c>
      <c r="E18" s="18" t="inlineStr">
        <is>
          <t>Lá đang gõ… đừng giục nha.</t>
        </is>
      </c>
      <c r="F18" s="19">
        <f>IF(LEN(TRIM(E18))=0,"",LEN(TRIM(E18))-LEN(SUBSTITUTE(TRIM(E18)," ",""))+1)</f>
        <v/>
      </c>
      <c r="G18" s="18" t="n">
        <v>18</v>
      </c>
      <c r="H18" s="22" t="inlineStr">
        <is>
          <t>Sửa</t>
        </is>
      </c>
      <c r="I18" s="18" t="inlineStr">
        <is>
          <t>Vũ trụ đang gõ… đừng giục.</t>
        </is>
      </c>
      <c r="J18" s="21" t="n"/>
      <c r="K18" s="21" t="n"/>
      <c r="L18" s="19">
        <f>IF(LEN(TRIM(K18))=0,"",LEN(TRIM(K18))-LEN(SUBSTITUTE(TRIM(K18)," ",""))+1)</f>
        <v/>
      </c>
      <c r="M18" s="21" t="n"/>
    </row>
    <row r="19">
      <c r="A19" s="18" t="inlineStr">
        <is>
          <t>T-3-a</t>
        </is>
      </c>
      <c r="B19" s="18" t="inlineStr">
        <is>
          <t>Đang tải</t>
        </is>
      </c>
      <c r="C19" s="18" t="inlineStr">
        <is>
          <t>Dòng chờ #3 (xoay vòng khi tải)</t>
        </is>
      </c>
      <c r="D19" s="18" t="inlineStr">
        <is>
          <t>Thẳng</t>
        </is>
      </c>
      <c r="E19" s="18" t="inlineStr">
        <is>
          <t>Lá đang gom ánh sao…</t>
        </is>
      </c>
      <c r="F19" s="19">
        <f>IF(LEN(TRIM(E19))=0,"",LEN(TRIM(E19))-LEN(SUBSTITUTE(TRIM(E19)," ",""))+1)</f>
        <v/>
      </c>
      <c r="G19" s="18" t="n">
        <v>18</v>
      </c>
      <c r="H19" s="18" t="inlineStr">
        <is>
          <t>Giữ nguyên</t>
        </is>
      </c>
      <c r="I19" s="18" t="n"/>
      <c r="J19" s="21" t="n"/>
      <c r="K19" s="21" t="n"/>
      <c r="L19" s="19">
        <f>IF(LEN(TRIM(K19))=0,"",LEN(TRIM(K19))-LEN(SUBSTITUTE(TRIM(K19)," ",""))+1)</f>
        <v/>
      </c>
      <c r="M19" s="21" t="n"/>
    </row>
    <row r="20">
      <c r="A20" s="18" t="inlineStr">
        <is>
          <t>T-3-b</t>
        </is>
      </c>
      <c r="B20" s="18" t="inlineStr">
        <is>
          <t>Đang tải</t>
        </is>
      </c>
      <c r="C20" s="18" t="inlineStr">
        <is>
          <t>Dòng chờ #3 (xoay vòng khi tải)</t>
        </is>
      </c>
      <c r="D20" s="18" t="inlineStr">
        <is>
          <t>Cà khịa</t>
        </is>
      </c>
      <c r="E20" s="18" t="inlineStr">
        <is>
          <t>Lá đang lục lại hồ sơ drama của bạn…</t>
        </is>
      </c>
      <c r="F20" s="19">
        <f>IF(LEN(TRIM(E20))=0,"",LEN(TRIM(E20))-LEN(SUBSTITUTE(TRIM(E20)," ",""))+1)</f>
        <v/>
      </c>
      <c r="G20" s="18" t="n">
        <v>18</v>
      </c>
      <c r="H20" s="18" t="inlineStr">
        <is>
          <t>Giữ nguyên</t>
        </is>
      </c>
      <c r="I20" s="18" t="n"/>
      <c r="J20" s="21" t="n"/>
      <c r="K20" s="21" t="n"/>
      <c r="L20" s="19">
        <f>IF(LEN(TRIM(K20))=0,"",LEN(TRIM(K20))-LEN(SUBSTITUTE(TRIM(K20)," ",""))+1)</f>
        <v/>
      </c>
      <c r="M20" s="21" t="n"/>
    </row>
    <row r="21">
      <c r="A21" s="18" t="inlineStr">
        <is>
          <t>M-Rực-a</t>
        </is>
      </c>
      <c r="B21" s="18" t="inlineStr">
        <is>
          <t>Phản hồi mood</t>
        </is>
      </c>
      <c r="C21" s="18" t="inlineStr">
        <is>
          <t>Sau khi chọn mood “Rực”</t>
        </is>
      </c>
      <c r="D21" s="18" t="inlineStr">
        <is>
          <t>Thẳng</t>
        </is>
      </c>
      <c r="E21" s="18" t="inlineStr">
        <is>
          <t>Bạn đang nhiều năng lượng. Nhớ để dành một chút cho mình.</t>
        </is>
      </c>
      <c r="F21" s="19">
        <f>IF(LEN(TRIM(E21))=0,"",LEN(TRIM(E21))-LEN(SUBSTITUTE(TRIM(E21)," ",""))+1)</f>
        <v/>
      </c>
      <c r="G21" s="18" t="n">
        <v>18</v>
      </c>
      <c r="H21" s="18" t="inlineStr">
        <is>
          <t>Giữ nguyên</t>
        </is>
      </c>
      <c r="I21" s="18" t="n"/>
      <c r="J21" s="21" t="n"/>
      <c r="K21" s="21" t="n"/>
      <c r="L21" s="19">
        <f>IF(LEN(TRIM(K21))=0,"",LEN(TRIM(K21))-LEN(SUBSTITUTE(TRIM(K21)," ",""))+1)</f>
        <v/>
      </c>
      <c r="M21" s="21" t="n"/>
    </row>
    <row r="22">
      <c r="A22" s="18" t="inlineStr">
        <is>
          <t>M-Rực-b</t>
        </is>
      </c>
      <c r="B22" s="18" t="inlineStr">
        <is>
          <t>Phản hồi mood</t>
        </is>
      </c>
      <c r="C22" s="18" t="inlineStr">
        <is>
          <t>Sau khi chọn mood “Rực”</t>
        </is>
      </c>
      <c r="D22" s="18" t="inlineStr">
        <is>
          <t>Cà khịa</t>
        </is>
      </c>
      <c r="E22" s="18" t="inlineStr">
        <is>
          <t>Năng lượng max ghê. Nhớ chừa pin cho tối nay, đừng đốt hết lúc 10 giờ sáng.</t>
        </is>
      </c>
      <c r="F22" s="19">
        <f>IF(LEN(TRIM(E22))=0,"",LEN(TRIM(E22))-LEN(SUBSTITUTE(TRIM(E22)," ",""))+1)</f>
        <v/>
      </c>
      <c r="G22" s="18" t="n">
        <v>18</v>
      </c>
      <c r="H22" s="18" t="inlineStr">
        <is>
          <t>Giữ nguyên</t>
        </is>
      </c>
      <c r="I22" s="18" t="n"/>
      <c r="J22" s="21" t="n"/>
      <c r="K22" s="21" t="n"/>
      <c r="L22" s="19">
        <f>IF(LEN(TRIM(K22))=0,"",LEN(TRIM(K22))-LEN(SUBSTITUTE(TRIM(K22)," ",""))+1)</f>
        <v/>
      </c>
      <c r="M22" s="21" t="n"/>
    </row>
    <row r="23">
      <c r="A23" s="18" t="inlineStr">
        <is>
          <t>M-Chill-a</t>
        </is>
      </c>
      <c r="B23" s="18" t="inlineStr">
        <is>
          <t>Phản hồi mood</t>
        </is>
      </c>
      <c r="C23" s="18" t="inlineStr">
        <is>
          <t>Sau khi chọn mood “Chill”</t>
        </is>
      </c>
      <c r="D23" s="18" t="inlineStr">
        <is>
          <t>Thẳng</t>
        </is>
      </c>
      <c r="E23" s="18" t="inlineStr">
        <is>
          <t>Nhịp này đẹp đấy. Không cần đẩy mọi thứ đi nhanh hơn.</t>
        </is>
      </c>
      <c r="F23" s="19">
        <f>IF(LEN(TRIM(E23))=0,"",LEN(TRIM(E23))-LEN(SUBSTITUTE(TRIM(E23)," ",""))+1)</f>
        <v/>
      </c>
      <c r="G23" s="18" t="n">
        <v>18</v>
      </c>
      <c r="H23" s="18" t="inlineStr">
        <is>
          <t>Giữ nguyên</t>
        </is>
      </c>
      <c r="I23" s="18" t="n"/>
      <c r="J23" s="21" t="n"/>
      <c r="K23" s="21" t="n"/>
      <c r="L23" s="19">
        <f>IF(LEN(TRIM(K23))=0,"",LEN(TRIM(K23))-LEN(SUBSTITUTE(TRIM(K23)," ",""))+1)</f>
        <v/>
      </c>
      <c r="M23" s="21" t="n"/>
    </row>
    <row r="24">
      <c r="A24" s="18" t="inlineStr">
        <is>
          <t>M-Chill-b</t>
        </is>
      </c>
      <c r="B24" s="18" t="inlineStr">
        <is>
          <t>Phản hồi mood</t>
        </is>
      </c>
      <c r="C24" s="18" t="inlineStr">
        <is>
          <t>Sau khi chọn mood “Chill”</t>
        </is>
      </c>
      <c r="D24" s="18" t="inlineStr">
        <is>
          <t>Cà khịa</t>
        </is>
      </c>
      <c r="E24" s="18" t="inlineStr">
        <is>
          <t>Chill quá ha. Giữ nhịp này, đừng để group chat kéo bạn vào drama.</t>
        </is>
      </c>
      <c r="F24" s="19">
        <f>IF(LEN(TRIM(E24))=0,"",LEN(TRIM(E24))-LEN(SUBSTITUTE(TRIM(E24)," ",""))+1)</f>
        <v/>
      </c>
      <c r="G24" s="18" t="n">
        <v>18</v>
      </c>
      <c r="H24" s="18" t="inlineStr">
        <is>
          <t>Giữ nguyên</t>
        </is>
      </c>
      <c r="I24" s="18" t="n"/>
      <c r="J24" s="21" t="n"/>
      <c r="K24" s="21" t="n"/>
      <c r="L24" s="19">
        <f>IF(LEN(TRIM(K24))=0,"",LEN(TRIM(K24))-LEN(SUBSTITUTE(TRIM(K24)," ",""))+1)</f>
        <v/>
      </c>
      <c r="M24" s="21" t="n"/>
    </row>
    <row r="25">
      <c r="A25" s="18" t="inlineStr">
        <is>
          <t>M-Đuối-a</t>
        </is>
      </c>
      <c r="B25" s="18" t="inlineStr">
        <is>
          <t>Phản hồi mood</t>
        </is>
      </c>
      <c r="C25" s="18" t="inlineStr">
        <is>
          <t>Sau khi chọn mood “Đuối”</t>
        </is>
      </c>
      <c r="D25" s="18" t="inlineStr">
        <is>
          <t>Thẳng</t>
        </is>
      </c>
      <c r="E25" s="18" t="inlineStr">
        <is>
          <t>Hôm nay bớt một việc cũng là chăm mình.</t>
        </is>
      </c>
      <c r="F25" s="19">
        <f>IF(LEN(TRIM(E25))=0,"",LEN(TRIM(E25))-LEN(SUBSTITUTE(TRIM(E25)," ",""))+1)</f>
        <v/>
      </c>
      <c r="G25" s="18" t="n">
        <v>18</v>
      </c>
      <c r="H25" s="18" t="inlineStr">
        <is>
          <t>Giữ nguyên</t>
        </is>
      </c>
      <c r="I25" s="18" t="n"/>
      <c r="J25" s="21" t="n"/>
      <c r="K25" s="21" t="n"/>
      <c r="L25" s="19">
        <f>IF(LEN(TRIM(K25))=0,"",LEN(TRIM(K25))-LEN(SUBSTITUTE(TRIM(K25)," ",""))+1)</f>
        <v/>
      </c>
      <c r="M25" s="21" t="n"/>
    </row>
    <row r="26">
      <c r="A26" s="18" t="inlineStr">
        <is>
          <t>M-Đuối-b</t>
        </is>
      </c>
      <c r="B26" s="18" t="inlineStr">
        <is>
          <t>Phản hồi mood</t>
        </is>
      </c>
      <c r="C26" s="18" t="inlineStr">
        <is>
          <t>Sau khi chọn mood “Đuối”</t>
        </is>
      </c>
      <c r="D26" s="18" t="inlineStr">
        <is>
          <t>Cà khịa</t>
        </is>
      </c>
      <c r="E26" s="18" t="inlineStr">
        <is>
          <t>Pin 3% mà còn gồng. Bớt một việc đi, thế giới không sập đâu.</t>
        </is>
      </c>
      <c r="F26" s="19">
        <f>IF(LEN(TRIM(E26))=0,"",LEN(TRIM(E26))-LEN(SUBSTITUTE(TRIM(E26)," ",""))+1)</f>
        <v/>
      </c>
      <c r="G26" s="18" t="n">
        <v>18</v>
      </c>
      <c r="H26" s="18" t="inlineStr">
        <is>
          <t>Giữ nguyên</t>
        </is>
      </c>
      <c r="I26" s="18" t="n"/>
      <c r="J26" s="21" t="n"/>
      <c r="K26" s="21" t="n"/>
      <c r="L26" s="19">
        <f>IF(LEN(TRIM(K26))=0,"",LEN(TRIM(K26))-LEN(SUBSTITUTE(TRIM(K26)," ",""))+1)</f>
        <v/>
      </c>
      <c r="M26" s="21" t="n"/>
    </row>
    <row r="27">
      <c r="A27" s="18" t="inlineStr">
        <is>
          <t>M-Căng-a</t>
        </is>
      </c>
      <c r="B27" s="18" t="inlineStr">
        <is>
          <t>Phản hồi mood</t>
        </is>
      </c>
      <c r="C27" s="18" t="inlineStr">
        <is>
          <t>Sau khi chọn mood “Căng”</t>
        </is>
      </c>
      <c r="D27" s="18" t="inlineStr">
        <is>
          <t>Thẳng</t>
        </is>
      </c>
      <c r="E27" s="18" t="inlineStr">
        <is>
          <t>Thở chậm một nhịp trước khi trả lời điều quan trọng.</t>
        </is>
      </c>
      <c r="F27" s="19">
        <f>IF(LEN(TRIM(E27))=0,"",LEN(TRIM(E27))-LEN(SUBSTITUTE(TRIM(E27)," ",""))+1)</f>
        <v/>
      </c>
      <c r="G27" s="18" t="n">
        <v>18</v>
      </c>
      <c r="H27" s="18" t="inlineStr">
        <is>
          <t>Giữ nguyên</t>
        </is>
      </c>
      <c r="I27" s="18" t="n"/>
      <c r="J27" s="21" t="n"/>
      <c r="K27" s="21" t="n"/>
      <c r="L27" s="19">
        <f>IF(LEN(TRIM(K27))=0,"",LEN(TRIM(K27))-LEN(SUBSTITUTE(TRIM(K27)," ",""))+1)</f>
        <v/>
      </c>
      <c r="M27" s="21" t="n"/>
    </row>
    <row r="28">
      <c r="A28" s="18" t="inlineStr">
        <is>
          <t>M-Căng-b</t>
        </is>
      </c>
      <c r="B28" s="18" t="inlineStr">
        <is>
          <t>Phản hồi mood</t>
        </is>
      </c>
      <c r="C28" s="18" t="inlineStr">
        <is>
          <t>Sau khi chọn mood “Căng”</t>
        </is>
      </c>
      <c r="D28" s="18" t="inlineStr">
        <is>
          <t>Cà khịa</t>
        </is>
      </c>
      <c r="E28" s="18" t="inlineStr">
        <is>
          <t>Vai đang gồng tới tai rồi kìa. Thở ra một hơi rồi hẵng rep tin nhắn.</t>
        </is>
      </c>
      <c r="F28" s="19">
        <f>IF(LEN(TRIM(E28))=0,"",LEN(TRIM(E28))-LEN(SUBSTITUTE(TRIM(E28)," ",""))+1)</f>
        <v/>
      </c>
      <c r="G28" s="18" t="n">
        <v>18</v>
      </c>
      <c r="H28" s="18" t="inlineStr">
        <is>
          <t>Giữ nguyên</t>
        </is>
      </c>
      <c r="I28" s="18" t="n"/>
      <c r="J28" s="21" t="n"/>
      <c r="K28" s="21" t="n"/>
      <c r="L28" s="19">
        <f>IF(LEN(TRIM(K28))=0,"",LEN(TRIM(K28))-LEN(SUBSTITUTE(TRIM(K28)," ",""))+1)</f>
        <v/>
      </c>
      <c r="M28" s="21" t="n"/>
    </row>
    <row r="29">
      <c r="A29" s="18" t="inlineStr">
        <is>
          <t>M-Lạc trôi-a</t>
        </is>
      </c>
      <c r="B29" s="18" t="inlineStr">
        <is>
          <t>Phản hồi mood</t>
        </is>
      </c>
      <c r="C29" s="18" t="inlineStr">
        <is>
          <t>Sau khi chọn mood “Lạc trôi”</t>
        </is>
      </c>
      <c r="D29" s="18" t="inlineStr">
        <is>
          <t>Thẳng</t>
        </is>
      </c>
      <c r="E29" s="18" t="inlineStr">
        <is>
          <t>Chưa cần hiểu hết. Chỉ cần tìm một điểm để quay về.</t>
        </is>
      </c>
      <c r="F29" s="19">
        <f>IF(LEN(TRIM(E29))=0,"",LEN(TRIM(E29))-LEN(SUBSTITUTE(TRIM(E29)," ",""))+1)</f>
        <v/>
      </c>
      <c r="G29" s="18" t="n">
        <v>18</v>
      </c>
      <c r="H29" s="18" t="inlineStr">
        <is>
          <t>Giữ nguyên</t>
        </is>
      </c>
      <c r="I29" s="18" t="n"/>
      <c r="J29" s="21" t="n"/>
      <c r="K29" s="21" t="n"/>
      <c r="L29" s="19">
        <f>IF(LEN(TRIM(K29))=0,"",LEN(TRIM(K29))-LEN(SUBSTITUTE(TRIM(K29)," ",""))+1)</f>
        <v/>
      </c>
      <c r="M29" s="21" t="n"/>
    </row>
    <row r="30">
      <c r="A30" s="18" t="inlineStr">
        <is>
          <t>M-Lạc trôi-b</t>
        </is>
      </c>
      <c r="B30" s="18" t="inlineStr">
        <is>
          <t>Phản hồi mood</t>
        </is>
      </c>
      <c r="C30" s="18" t="inlineStr">
        <is>
          <t>Sau khi chọn mood “Lạc trôi”</t>
        </is>
      </c>
      <c r="D30" s="18" t="inlineStr">
        <is>
          <t>Cà khịa</t>
        </is>
      </c>
      <c r="E30" s="18" t="inlineStr">
        <is>
          <t>Đang trôi giữa vũ trụ hả? Neo lại một việc nhỏ trước đã.</t>
        </is>
      </c>
      <c r="F30" s="19">
        <f>IF(LEN(TRIM(E30))=0,"",LEN(TRIM(E30))-LEN(SUBSTITUTE(TRIM(E30)," ",""))+1)</f>
        <v/>
      </c>
      <c r="G30" s="18" t="n">
        <v>18</v>
      </c>
      <c r="H30" s="18" t="inlineStr">
        <is>
          <t>Giữ nguyên</t>
        </is>
      </c>
      <c r="I30" s="18" t="n"/>
      <c r="J30" s="21" t="n"/>
      <c r="K30" s="21" t="n"/>
      <c r="L30" s="19">
        <f>IF(LEN(TRIM(K30))=0,"",LEN(TRIM(K30))-LEN(SUBSTITUTE(TRIM(K30)," ",""))+1)</f>
        <v/>
      </c>
      <c r="M30" s="21" t="n"/>
    </row>
    <row r="31">
      <c r="A31" s="18" t="inlineStr">
        <is>
          <t>M-nudge</t>
        </is>
      </c>
      <c r="B31" s="18" t="inlineStr">
        <is>
          <t>Nhắc chọn mood</t>
        </is>
      </c>
      <c r="C31" s="18" t="inlineStr">
        <is>
          <t>Khi chưa chọn mood hôm nay</t>
        </is>
      </c>
      <c r="D31" s="18" t="inlineStr">
        <is>
          <t>Cả hai</t>
        </is>
      </c>
      <c r="E31" s="18" t="inlineStr">
        <is>
          <t>Hôm nay bạn đang ở mood nào? Chạm để kể Lá nghe.</t>
        </is>
      </c>
      <c r="F31" s="19">
        <f>IF(LEN(TRIM(E31))=0,"",LEN(TRIM(E31))-LEN(SUBSTITUTE(TRIM(E31)," ",""))+1)</f>
        <v/>
      </c>
      <c r="G31" s="18" t="n">
        <v>18</v>
      </c>
      <c r="H31" s="18" t="inlineStr">
        <is>
          <t>Giữ nguyên</t>
        </is>
      </c>
      <c r="I31" s="18" t="n"/>
      <c r="J31" s="21" t="n"/>
      <c r="K31" s="21" t="n"/>
      <c r="L31" s="19">
        <f>IF(LEN(TRIM(K31))=0,"",LEN(TRIM(K31))-LEN(SUBSTITUTE(TRIM(K31)," ",""))+1)</f>
        <v/>
      </c>
      <c r="M31" s="21" t="n"/>
    </row>
  </sheetData>
  <autoFilter ref="A4:M31"/>
  <mergeCells count="1">
    <mergeCell ref="A2:M2"/>
  </mergeCells>
  <conditionalFormatting sqref="F5:F31">
    <cfRule type="expression" priority="1" dxfId="0">
      <formula>AND(ISNUMBER(F5),F5&gt;$G5)</formula>
    </cfRule>
  </conditionalFormatting>
  <conditionalFormatting sqref="L5:L31">
    <cfRule type="expression" priority="2" dxfId="0">
      <formula>AND(ISNUMBER(L5),L5&gt;$G5)</formula>
    </cfRule>
  </conditionalFormatting>
  <dataValidations count="1">
    <dataValidation sqref="J5:J31" showDropDown="0" showInputMessage="0" showErrorMessage="1" allowBlank="1" errorTitle="Chọn từ danh sách" error="Chọn Duyệt, Sửa hoặc Bỏ." type="list">
      <formula1>"Duyệt,Sửa,Bỏ"</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44" customWidth="1" min="3" max="3"/>
    <col width="46" customWidth="1" min="4" max="4"/>
    <col width="7" customWidth="1" min="5" max="5"/>
    <col width="11" customWidth="1" min="6" max="6"/>
    <col width="44" customWidth="1" min="7" max="7"/>
    <col width="12" customWidth="1" min="8" max="8"/>
    <col width="42" customWidth="1" min="9" max="9"/>
    <col width="9" customWidth="1" min="10" max="10"/>
    <col width="28" customWidth="1" min="11" max="11"/>
  </cols>
  <sheetData>
    <row r="1">
      <c r="A1" s="15" t="inlineStr">
        <is>
          <t>Chữ mới hoặc đổi trong giao diện “Tím đêm dịu”</t>
        </is>
      </c>
    </row>
    <row r="2" ht="30" customHeight="1">
      <c r="A2" s="16" t="inlineStr">
        <is>
          <t>Chỉ liệt kê chữ mới/đổi so với bản đang chạy (release a6e11bf). Chữ giữ nguyên không có trong bảng. Nhãn trợ năng không hiện trên màn hình nhưng được trình đọc màn hình đọc to.</t>
        </is>
      </c>
    </row>
    <row r="4" ht="32" customHeight="1">
      <c r="A4" s="17" t="inlineStr">
        <is>
          <t>Mã</t>
        </is>
      </c>
      <c r="B4" s="17" t="inlineStr">
        <is>
          <t>Màn hình</t>
        </is>
      </c>
      <c r="C4" s="17" t="inlineStr">
        <is>
          <t>Vị trí / khi nào hiện</t>
        </is>
      </c>
      <c r="D4" s="17" t="inlineStr">
        <is>
          <t>Chữ mới</t>
        </is>
      </c>
      <c r="E4" s="17" t="inlineStr">
        <is>
          <t>Số từ</t>
        </is>
      </c>
      <c r="F4" s="17" t="inlineStr">
        <is>
          <t>Trạng thái</t>
        </is>
      </c>
      <c r="G4" s="17" t="inlineStr">
        <is>
          <t>Chữ cũ (nếu Sửa)</t>
        </is>
      </c>
      <c r="H4" s="17" t="inlineStr">
        <is>
          <t>Quyết định</t>
        </is>
      </c>
      <c r="I4" s="17" t="inlineStr">
        <is>
          <t>Chữ đề xuất (nếu Sửa)</t>
        </is>
      </c>
      <c r="J4" s="17" t="inlineStr">
        <is>
          <t>Số từ đề xuất</t>
        </is>
      </c>
      <c r="K4" s="17" t="inlineStr">
        <is>
          <t>Ghi chú</t>
        </is>
      </c>
    </row>
    <row r="5">
      <c r="A5" s="18" t="inlineStr">
        <is>
          <t>U01</t>
        </is>
      </c>
      <c r="B5" s="18" t="inlineStr">
        <is>
          <t>Trang offline</t>
        </is>
      </c>
      <c r="C5" s="18" t="inlineStr">
        <is>
          <t>Mô tả trang offline</t>
        </is>
      </c>
      <c r="D5" s="18" t="inlineStr">
        <is>
          <t>Kết nối lại mạng để Lá Lành mở note mới và đồng bộ những gì cần lưu nhé.</t>
        </is>
      </c>
      <c r="E5" s="19">
        <f>IF(LEN(TRIM(D5))=0,"",LEN(TRIM(D5))-LEN(SUBSTITUTE(TRIM(D5)," ",""))+1)</f>
        <v/>
      </c>
      <c r="F5" s="22" t="inlineStr">
        <is>
          <t>Sửa</t>
        </is>
      </c>
      <c r="G5" s="18" t="inlineStr">
        <is>
          <t>App shell vẫn ở đây. Kết nối lại mạng để Lá Lành mở note mới và đồng bộ những gì cần lưu nhé.</t>
        </is>
      </c>
      <c r="H5" s="21" t="n"/>
      <c r="I5" s="21" t="n"/>
      <c r="J5" s="19">
        <f>IF(LEN(TRIM(I5))=0,"",LEN(TRIM(I5))-LEN(SUBSTITUTE(TRIM(I5)," ",""))+1)</f>
        <v/>
      </c>
      <c r="K5" s="21" t="n"/>
    </row>
    <row r="6">
      <c r="A6" s="18" t="inlineStr">
        <is>
          <t>U02</t>
        </is>
      </c>
      <c r="B6" s="18" t="inlineStr">
        <is>
          <t>Trang offline</t>
        </is>
      </c>
      <c r="C6" s="18" t="inlineStr">
        <is>
          <t>Nút thử lại</t>
        </is>
      </c>
      <c r="D6" s="18" t="inlineStr">
        <is>
          <t>Thử kết nối lại</t>
        </is>
      </c>
      <c r="E6" s="19">
        <f>IF(LEN(TRIM(D6))=0,"",LEN(TRIM(D6))-LEN(SUBSTITUTE(TRIM(D6)," ",""))+1)</f>
        <v/>
      </c>
      <c r="F6" s="20" t="inlineStr">
        <is>
          <t>Mới</t>
        </is>
      </c>
      <c r="G6" s="18" t="n"/>
      <c r="H6" s="21" t="n"/>
      <c r="I6" s="21" t="n"/>
      <c r="J6" s="19">
        <f>IF(LEN(TRIM(I6))=0,"",LEN(TRIM(I6))-LEN(SUBSTITUTE(TRIM(I6)," ",""))+1)</f>
        <v/>
      </c>
      <c r="K6" s="21" t="n"/>
    </row>
    <row r="7">
      <c r="A7" s="18" t="inlineStr">
        <is>
          <t>U03</t>
        </is>
      </c>
      <c r="B7" s="18" t="inlineStr">
        <is>
          <t>Bổ sung giờ sinh</t>
        </is>
      </c>
      <c r="C7" s="18" t="inlineStr">
        <is>
          <t>Tiêu đề thanh trên cùng ở bước giới thiệu</t>
        </is>
      </c>
      <c r="D7" s="18" t="inlineStr">
        <is>
          <t>Mở thêm lớp</t>
        </is>
      </c>
      <c r="E7" s="19">
        <f>IF(LEN(TRIM(D7))=0,"",LEN(TRIM(D7))-LEN(SUBSTITUTE(TRIM(D7)," ",""))+1)</f>
        <v/>
      </c>
      <c r="F7" s="20" t="inlineStr">
        <is>
          <t>Mới</t>
        </is>
      </c>
      <c r="G7" s="18" t="n"/>
      <c r="H7" s="21" t="n"/>
      <c r="I7" s="21" t="n"/>
      <c r="J7" s="19">
        <f>IF(LEN(TRIM(I7))=0,"",LEN(TRIM(I7))-LEN(SUBSTITUTE(TRIM(I7)," ",""))+1)</f>
        <v/>
      </c>
      <c r="K7" s="21" t="n"/>
    </row>
    <row r="8">
      <c r="A8" s="18" t="inlineStr">
        <is>
          <t>U04</t>
        </is>
      </c>
      <c r="B8" s="18" t="inlineStr">
        <is>
          <t>Đồng ý</t>
        </is>
      </c>
      <c r="C8" s="18" t="inlineStr">
        <is>
          <t>Tiêu đề phần chi tiết dạng gập/mở</t>
        </is>
      </c>
      <c r="D8" s="18" t="inlineStr">
        <is>
          <t>Chi tiết thêm</t>
        </is>
      </c>
      <c r="E8" s="19">
        <f>IF(LEN(TRIM(D8))=0,"",LEN(TRIM(D8))-LEN(SUBSTITUTE(TRIM(D8)," ",""))+1)</f>
        <v/>
      </c>
      <c r="F8" s="20" t="inlineStr">
        <is>
          <t>Mới</t>
        </is>
      </c>
      <c r="G8" s="18" t="n"/>
      <c r="H8" s="21" t="n"/>
      <c r="I8" s="21" t="n"/>
      <c r="J8" s="19">
        <f>IF(LEN(TRIM(I8))=0,"",LEN(TRIM(I8))-LEN(SUBSTITUTE(TRIM(I8)," ",""))+1)</f>
        <v/>
      </c>
      <c r="K8" s="21" t="n"/>
    </row>
    <row r="9">
      <c r="A9" s="18" t="inlineStr">
        <is>
          <t>U05</t>
        </is>
      </c>
      <c r="B9" s="18" t="inlineStr">
        <is>
          <t>Home</t>
        </is>
      </c>
      <c r="C9" s="18" t="inlineStr">
        <is>
          <t>Link cuối thẻ hôm nay, mở trang note đầy đủ</t>
        </is>
      </c>
      <c r="D9" s="18" t="inlineStr">
        <is>
          <t>Đọc đầy đủ</t>
        </is>
      </c>
      <c r="E9" s="19">
        <f>IF(LEN(TRIM(D9))=0,"",LEN(TRIM(D9))-LEN(SUBSTITUTE(TRIM(D9)," ",""))+1)</f>
        <v/>
      </c>
      <c r="F9" s="22" t="inlineStr">
        <is>
          <t>Sửa</t>
        </is>
      </c>
      <c r="G9" s="18" t="inlineStr">
        <is>
          <t>Đọc thêm</t>
        </is>
      </c>
      <c r="H9" s="21" t="n"/>
      <c r="I9" s="21" t="n"/>
      <c r="J9" s="19">
        <f>IF(LEN(TRIM(I9))=0,"",LEN(TRIM(I9))-LEN(SUBSTITUTE(TRIM(I9)," ",""))+1)</f>
        <v/>
      </c>
      <c r="K9" s="21" t="n"/>
    </row>
    <row r="10">
      <c r="A10" s="18" t="inlineStr">
        <is>
          <t>U06</t>
        </is>
      </c>
      <c r="B10" s="18" t="inlineStr">
        <is>
          <t>Home</t>
        </is>
      </c>
      <c r="C10" s="18" t="inlineStr">
        <is>
          <t>Nút hoãn lời nhắc bổ sung giờ sinh (dùng lại khoá hoãn cũ)</t>
        </is>
      </c>
      <c r="D10" s="18" t="inlineStr">
        <is>
          <t>Để 3 ngày sau</t>
        </is>
      </c>
      <c r="E10" s="19">
        <f>IF(LEN(TRIM(D10))=0,"",LEN(TRIM(D10))-LEN(SUBSTITUTE(TRIM(D10)," ",""))+1)</f>
        <v/>
      </c>
      <c r="F10" s="20" t="inlineStr">
        <is>
          <t>Mới</t>
        </is>
      </c>
      <c r="G10" s="18" t="n"/>
      <c r="H10" s="21" t="n"/>
      <c r="I10" s="21" t="n"/>
      <c r="J10" s="19">
        <f>IF(LEN(TRIM(I10))=0,"",LEN(TRIM(I10))-LEN(SUBSTITUTE(TRIM(I10)," ",""))+1)</f>
        <v/>
      </c>
      <c r="K10" s="21" t="n"/>
    </row>
    <row r="11">
      <c r="A11" s="18" t="inlineStr">
        <is>
          <t>U07</t>
        </is>
      </c>
      <c r="B11" s="18" t="inlineStr">
        <is>
          <t>Home</t>
        </is>
      </c>
      <c r="C11" s="18" t="inlineStr">
        <is>
          <t>Nhãn nút chọn mood khi chưa chọn</t>
        </is>
      </c>
      <c r="D11" s="18" t="inlineStr">
        <is>
          <t>Chọn mood</t>
        </is>
      </c>
      <c r="E11" s="19">
        <f>IF(LEN(TRIM(D11))=0,"",LEN(TRIM(D11))-LEN(SUBSTITUTE(TRIM(D11)," ",""))+1)</f>
        <v/>
      </c>
      <c r="F11" s="22" t="inlineStr">
        <is>
          <t>Sửa</t>
        </is>
      </c>
      <c r="G11" s="18" t="inlineStr">
        <is>
          <t>Mood hôm nay?</t>
        </is>
      </c>
      <c r="H11" s="21" t="n"/>
      <c r="I11" s="21" t="n"/>
      <c r="J11" s="19">
        <f>IF(LEN(TRIM(I11))=0,"",LEN(TRIM(I11))-LEN(SUBSTITUTE(TRIM(I11)," ",""))+1)</f>
        <v/>
      </c>
      <c r="K11" s="21" t="n"/>
    </row>
    <row r="12">
      <c r="A12" s="18" t="inlineStr">
        <is>
          <t>U08</t>
        </is>
      </c>
      <c r="B12" s="18" t="inlineStr">
        <is>
          <t>Home</t>
        </is>
      </c>
      <c r="C12" s="18" t="inlineStr">
        <is>
          <t>Tiêu đề nhỏ của bong bóng nhắc (quà, giờ sinh, tổng kết tuần, tối)</t>
        </is>
      </c>
      <c r="D12" s="18" t="inlineStr">
        <is>
          <t>Lá nhắc</t>
        </is>
      </c>
      <c r="E12" s="19">
        <f>IF(LEN(TRIM(D12))=0,"",LEN(TRIM(D12))-LEN(SUBSTITUTE(TRIM(D12)," ",""))+1)</f>
        <v/>
      </c>
      <c r="F12" s="20" t="inlineStr">
        <is>
          <t>Mới</t>
        </is>
      </c>
      <c r="G12" s="18" t="n"/>
      <c r="H12" s="21" t="n"/>
      <c r="I12" s="21" t="n"/>
      <c r="J12" s="19">
        <f>IF(LEN(TRIM(I12))=0,"",LEN(TRIM(I12))-LEN(SUBSTITUTE(TRIM(I12)," ",""))+1)</f>
        <v/>
      </c>
      <c r="K12" s="21" t="n"/>
    </row>
    <row r="13">
      <c r="A13" s="18" t="inlineStr">
        <is>
          <t>U09</t>
        </is>
      </c>
      <c r="B13" s="18" t="inlineStr">
        <is>
          <t>Home</t>
        </is>
      </c>
      <c r="C13" s="18" t="inlineStr">
        <is>
          <t>Nhãn trợ năng (đọc màn hình) của nút X ẩn bong bóng Lá</t>
        </is>
      </c>
      <c r="D13" s="18" t="inlineStr">
        <is>
          <t>Ẩn câu của Lá</t>
        </is>
      </c>
      <c r="E13" s="19">
        <f>IF(LEN(TRIM(D13))=0,"",LEN(TRIM(D13))-LEN(SUBSTITUTE(TRIM(D13)," ",""))+1)</f>
        <v/>
      </c>
      <c r="F13" s="20" t="inlineStr">
        <is>
          <t>Mới</t>
        </is>
      </c>
      <c r="G13" s="18" t="n"/>
      <c r="H13" s="21" t="n"/>
      <c r="I13" s="21" t="n"/>
      <c r="J13" s="19">
        <f>IF(LEN(TRIM(I13))=0,"",LEN(TRIM(I13))-LEN(SUBSTITUTE(TRIM(I13)," ",""))+1)</f>
        <v/>
      </c>
      <c r="K13" s="21" t="n"/>
    </row>
    <row r="14">
      <c r="A14" s="18" t="inlineStr">
        <is>
          <t>U10</t>
        </is>
      </c>
      <c r="B14" s="18" t="inlineStr">
        <is>
          <t>Home</t>
        </is>
      </c>
      <c r="C14" s="18" t="inlineStr">
        <is>
          <t>Nhãn trợ năng khi thẻ đang tải (skeleton)</t>
        </is>
      </c>
      <c r="D14" s="18" t="inlineStr">
        <is>
          <t>Đang mở tín hiệu hôm nay</t>
        </is>
      </c>
      <c r="E14" s="19">
        <f>IF(LEN(TRIM(D14))=0,"",LEN(TRIM(D14))-LEN(SUBSTITUTE(TRIM(D14)," ",""))+1)</f>
        <v/>
      </c>
      <c r="F14" s="20" t="inlineStr">
        <is>
          <t>Mới</t>
        </is>
      </c>
      <c r="G14" s="18" t="n"/>
      <c r="H14" s="21" t="n"/>
      <c r="I14" s="21" t="n"/>
      <c r="J14" s="19">
        <f>IF(LEN(TRIM(I14))=0,"",LEN(TRIM(I14))-LEN(SUBSTITUTE(TRIM(I14)," ",""))+1)</f>
        <v/>
      </c>
      <c r="K14" s="21" t="n"/>
    </row>
    <row r="15">
      <c r="A15" s="18" t="inlineStr">
        <is>
          <t>U11</t>
        </is>
      </c>
      <c r="B15" s="18" t="inlineStr">
        <is>
          <t>Home</t>
        </is>
      </c>
      <c r="C15" s="18" t="inlineStr">
        <is>
          <t>Bong bóng Lá khi không tải được thẻ hôm nay</t>
        </is>
      </c>
      <c r="D15" s="18" t="inlineStr">
        <is>
          <t>Trong lúc chờ, bạn vẫn rút Tarot được.</t>
        </is>
      </c>
      <c r="E15" s="19">
        <f>IF(LEN(TRIM(D15))=0,"",LEN(TRIM(D15))-LEN(SUBSTITUTE(TRIM(D15)," ",""))+1)</f>
        <v/>
      </c>
      <c r="F15" s="20" t="inlineStr">
        <is>
          <t>Mới</t>
        </is>
      </c>
      <c r="G15" s="18" t="n"/>
      <c r="H15" s="21" t="n"/>
      <c r="I15" s="21" t="n"/>
      <c r="J15" s="19">
        <f>IF(LEN(TRIM(I15))=0,"",LEN(TRIM(I15))-LEN(SUBSTITUTE(TRIM(I15)," ",""))+1)</f>
        <v/>
      </c>
      <c r="K15" s="21" t="n"/>
    </row>
    <row r="16">
      <c r="A16" s="18" t="inlineStr">
        <is>
          <t>U12</t>
        </is>
      </c>
      <c r="B16" s="18" t="inlineStr">
        <is>
          <t>Hồ sơ</t>
        </is>
      </c>
      <c r="C16" s="18" t="inlineStr">
        <is>
          <t>Mô tả lựa chọn giao diện sáng</t>
        </is>
      </c>
      <c r="D16" s="18" t="inlineStr">
        <is>
          <t>Nền sáng, chữ tím đậm</t>
        </is>
      </c>
      <c r="E16" s="19">
        <f>IF(LEN(TRIM(D16))=0,"",LEN(TRIM(D16))-LEN(SUBSTITUTE(TRIM(D16)," ",""))+1)</f>
        <v/>
      </c>
      <c r="F16" s="22" t="inlineStr">
        <is>
          <t>Sửa</t>
        </is>
      </c>
      <c r="G16" s="18" t="inlineStr">
        <is>
          <t>Nền kem, chữ tím đậm</t>
        </is>
      </c>
      <c r="H16" s="21" t="n"/>
      <c r="I16" s="21" t="n"/>
      <c r="J16" s="19">
        <f>IF(LEN(TRIM(I16))=0,"",LEN(TRIM(I16))-LEN(SUBSTITUTE(TRIM(I16)," ",""))+1)</f>
        <v/>
      </c>
      <c r="K16" s="21" t="n"/>
    </row>
    <row r="17">
      <c r="A17" s="18" t="inlineStr">
        <is>
          <t>U13</t>
        </is>
      </c>
      <c r="B17" s="18" t="inlineStr">
        <is>
          <t>Radar</t>
        </is>
      </c>
      <c r="C17" s="18" t="inlineStr">
        <is>
          <t>Tiêu đề hộp xoá (tên người kia lấy từ lời mời; không có thì là “người này”)</t>
        </is>
      </c>
      <c r="D17" s="18" t="inlineStr">
        <is>
          <t>Xoá lần Radar với [tên]?</t>
        </is>
      </c>
      <c r="E17" s="19">
        <f>IF(LEN(TRIM(D17))=0,"",LEN(TRIM(D17))-LEN(SUBSTITUTE(TRIM(D17)," ",""))+1)</f>
        <v/>
      </c>
      <c r="F17" s="22" t="inlineStr">
        <is>
          <t>Sửa</t>
        </is>
      </c>
      <c r="G17" s="18" t="inlineStr">
        <is>
          <t>Xoá lần Radar này? Kết quả của cả hai và link sẽ không còn mở được.</t>
        </is>
      </c>
      <c r="H17" s="21" t="n"/>
      <c r="I17" s="21" t="n"/>
      <c r="J17" s="19">
        <f>IF(LEN(TRIM(I17))=0,"",LEN(TRIM(I17))-LEN(SUBSTITUTE(TRIM(I17)," ",""))+1)</f>
        <v/>
      </c>
      <c r="K17" s="21" t="n"/>
    </row>
    <row r="18">
      <c r="A18" s="18" t="inlineStr">
        <is>
          <t>U14</t>
        </is>
      </c>
      <c r="B18" s="18" t="inlineStr">
        <is>
          <t>Radar</t>
        </is>
      </c>
      <c r="C18" s="18" t="inlineStr">
        <is>
          <t>Nội dung hộp xoá</t>
        </is>
      </c>
      <c r="D18" s="18" t="inlineStr">
        <is>
          <t>Kết quả của cả hai và link sẽ không còn mở được. Việc này không hoàn tác được.</t>
        </is>
      </c>
      <c r="E18" s="19">
        <f>IF(LEN(TRIM(D18))=0,"",LEN(TRIM(D18))-LEN(SUBSTITUTE(TRIM(D18)," ",""))+1)</f>
        <v/>
      </c>
      <c r="F18" s="22" t="inlineStr">
        <is>
          <t>Sửa</t>
        </is>
      </c>
      <c r="G18" s="18" t="inlineStr">
        <is>
          <t>Xoá lần Radar này? Kết quả của cả hai và link sẽ không còn mở được.</t>
        </is>
      </c>
      <c r="H18" s="21" t="n"/>
      <c r="I18" s="21" t="n"/>
      <c r="J18" s="19">
        <f>IF(LEN(TRIM(I18))=0,"",LEN(TRIM(I18))-LEN(SUBSTITUTE(TRIM(I18)," ",""))+1)</f>
        <v/>
      </c>
      <c r="K18" s="21" t="n"/>
    </row>
    <row r="19">
      <c r="A19" s="18" t="inlineStr">
        <is>
          <t>U15</t>
        </is>
      </c>
      <c r="B19" s="18" t="inlineStr">
        <is>
          <t>Radar</t>
        </is>
      </c>
      <c r="C19" s="18" t="inlineStr">
        <is>
          <t>Nút xác nhận trong hộp xoá (thay hộp xác nhận của trình duyệt)</t>
        </is>
      </c>
      <c r="D19" s="18" t="inlineStr">
        <is>
          <t>Xoá</t>
        </is>
      </c>
      <c r="E19" s="19">
        <f>IF(LEN(TRIM(D19))=0,"",LEN(TRIM(D19))-LEN(SUBSTITUTE(TRIM(D19)," ",""))+1)</f>
        <v/>
      </c>
      <c r="F19" s="20" t="inlineStr">
        <is>
          <t>Mới</t>
        </is>
      </c>
      <c r="G19" s="18" t="n"/>
      <c r="H19" s="21" t="n"/>
      <c r="I19" s="21" t="n"/>
      <c r="J19" s="19">
        <f>IF(LEN(TRIM(I19))=0,"",LEN(TRIM(I19))-LEN(SUBSTITUTE(TRIM(I19)," ",""))+1)</f>
        <v/>
      </c>
      <c r="K19" s="21" t="n"/>
    </row>
    <row r="20">
      <c r="A20" s="18" t="inlineStr">
        <is>
          <t>U16</t>
        </is>
      </c>
      <c r="B20" s="18" t="inlineStr">
        <is>
          <t>Mọi trang đọc</t>
        </is>
      </c>
      <c r="C20" s="18" t="inlineStr">
        <is>
          <t>Nhãn đầu khối lưu ý/miễn trừ</t>
        </is>
      </c>
      <c r="D20" s="18" t="inlineStr">
        <is>
          <t>Lưu ý.</t>
        </is>
      </c>
      <c r="E20" s="19">
        <f>IF(LEN(TRIM(D20))=0,"",LEN(TRIM(D20))-LEN(SUBSTITUTE(TRIM(D20)," ",""))+1)</f>
        <v/>
      </c>
      <c r="F20" s="20" t="inlineStr">
        <is>
          <t>Mới</t>
        </is>
      </c>
      <c r="G20" s="18" t="n"/>
      <c r="H20" s="21" t="n"/>
      <c r="I20" s="21" t="n"/>
      <c r="J20" s="19">
        <f>IF(LEN(TRIM(I20))=0,"",LEN(TRIM(I20))-LEN(SUBSTITUTE(TRIM(I20)," ",""))+1)</f>
        <v/>
      </c>
      <c r="K20" s="21" t="n"/>
    </row>
    <row r="21">
      <c r="A21" s="18" t="inlineStr">
        <is>
          <t>U17</t>
        </is>
      </c>
      <c r="B21" s="18" t="inlineStr">
        <is>
          <t>Mọi màn tải</t>
        </is>
      </c>
      <c r="C21" s="18" t="inlineStr">
        <is>
          <t>Dòng trấn an hiện thêm sau 8 giây chờ</t>
        </is>
      </c>
      <c r="D21" s="18" t="inlineStr">
        <is>
          <t>Vẫn đang mở, bạn chờ thêm chút nhé.</t>
        </is>
      </c>
      <c r="E21" s="19">
        <f>IF(LEN(TRIM(D21))=0,"",LEN(TRIM(D21))-LEN(SUBSTITUTE(TRIM(D21)," ",""))+1)</f>
        <v/>
      </c>
      <c r="F21" s="20" t="inlineStr">
        <is>
          <t>Mới</t>
        </is>
      </c>
      <c r="G21" s="18" t="n"/>
      <c r="H21" s="21" t="n"/>
      <c r="I21" s="21" t="n"/>
      <c r="J21" s="19">
        <f>IF(LEN(TRIM(I21))=0,"",LEN(TRIM(I21))-LEN(SUBSTITUTE(TRIM(I21)," ",""))+1)</f>
        <v/>
      </c>
      <c r="K21" s="21" t="n"/>
    </row>
  </sheetData>
  <autoFilter ref="A4:K21"/>
  <mergeCells count="1">
    <mergeCell ref="A2:K2"/>
  </mergeCells>
  <dataValidations count="1">
    <dataValidation sqref="H5:H21" showDropDown="0" showInputMessage="0" showErrorMessage="1" allowBlank="1" errorTitle="Chọn từ danh sách" error="Chọn Duyệt, Sửa hoặc Bỏ." type="list">
      <formula1>"Duyệt,Sửa,Bỏ"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2026-10-16T06:49:13Z</dcterms:created>
  <dcterms:modified xsi:type="dcterms:W3CDTF">2026-10-16T06:49:32Z</dcterms:modified>
</cp:coreProperties>
</file>